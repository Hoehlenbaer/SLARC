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1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Druckteile" sheetId="3" state="visible" r:id="rId3"/>
    <sheet xmlns:r="http://schemas.openxmlformats.org/officeDocument/2006/relationships" name="Gewich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0\ &quot;€&quot;;\-#,##0.00\ &quot;€&quot;;\-"/>
    <numFmt numFmtId="166" formatCode="0.0"/>
  </numFmts>
  <fonts count="7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0000FF"/>
      <sz val="11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FFF2B3"/>
      </patternFill>
    </fill>
    <fill>
      <patternFill patternType="solid">
        <fgColor rgb="FF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110" customWidth="1" min="2" max="2"/>
  </cols>
  <sheetData>
    <row r="1" ht="17.4" customHeight="1">
      <c r="A1" s="1" t="inlineStr">
        <is>
          <t>SLARC – Stückliste (BOM)</t>
        </is>
      </c>
    </row>
    <row r="2">
      <c r="A2" s="2" t="n"/>
      <c r="B2" s="3" t="n"/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n"/>
      <c r="B6" s="3" t="n"/>
    </row>
    <row r="7">
      <c r="A7" s="2" t="inlineStr">
        <is>
          <t>Stand</t>
        </is>
      </c>
      <c r="B7" s="3" t="inlineStr">
        <is>
          <t>Konstruktion: Bein V9.1 (Femur 150, Tibia 175, Knick 38,6°), Baseplates V2.7 (DC-DC, Modulplätze, Steckerhalter, Akku-Riegel), Kamerahalter V1.5, Panzer V1.1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tabSelected="1" workbookViewId="0">
      <pane ySplit="1" topLeftCell="A20" activePane="bottomLeft" state="frozen"/>
      <selection pane="bottomLeft" activeCell="C25" sqref="C25"/>
    </sheetView>
  </sheetViews>
  <sheetFormatPr baseColWidth="10" defaultColWidth="8.88671875" defaultRowHeight="14.4"/>
  <cols>
    <col width="5" customWidth="1" min="1" max="1"/>
    <col width="12" customWidth="1" min="2" max="2"/>
    <col width="44" customWidth="1" min="3" max="3"/>
    <col width="62" customWidth="1" min="4" max="4"/>
    <col width="8" customWidth="1" min="5" max="6"/>
    <col width="12" customWidth="1" min="7" max="7"/>
    <col width="14" customWidth="1" min="8" max="8"/>
    <col width="12" customWidth="1" min="9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>
        <v>24.9</v>
      </c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n"/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n"/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n"/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 (Breakout)</t>
        </is>
      </c>
      <c r="D8" s="3" t="inlineStr">
        <is>
          <t>I2C, 6 Fußkontakte + Status-LEDs an Bank B; INTA -&gt; GPIO34/35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Verdrahtung</t>
        </is>
      </c>
      <c r="C10" s="3" t="inlineStr">
        <is>
          <t>Widerstand 10 kΩ</t>
        </is>
      </c>
      <c r="D10" s="3" t="inlineStr">
        <is>
          <t>externe Pull-ups Fußkontakte (lange Kabel)</t>
        </is>
      </c>
      <c r="E10" s="7" t="n">
        <v>6</v>
      </c>
      <c r="F10" s="7" t="n">
        <v>4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WS2812B-LED-Streifen (optional)</t>
        </is>
      </c>
      <c r="D11" s="3" t="inlineStr">
        <is>
          <t>Daten an IO4 (3-pol. Servoanschluss Treiberboard), 5 V vom DC-DC</t>
        </is>
      </c>
      <c r="E11" s="7" t="n">
        <v>1</v>
      </c>
      <c r="F11" s="7" t="n">
        <v>0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Sensorik</t>
        </is>
      </c>
      <c r="C12" s="3" t="inlineStr">
        <is>
          <t>IMX296 Kamera-Modul mit ext. Trigger</t>
        </is>
      </c>
      <c r="D12" s="3" t="inlineStr">
        <is>
          <t>39x39 mm, M12-Halter</t>
        </is>
      </c>
      <c r="E12" s="7" t="n">
        <v>2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M12-Objektiv 2,8 mm (ZH3019-14)</t>
        </is>
      </c>
      <c r="D13" s="3" t="inlineStr">
        <is>
          <t>F2.2, 1/2.7"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n"/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CSI-Kabel Pi 5 (22-pol auf 15-pol), ca. 200 mm</t>
        </is>
      </c>
      <c r="D14" s="3" t="inlineStr">
        <is>
          <t>Kamera -&gt; Pi 5 CAM0/CAM1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Trigger-Verteilerplatine</t>
        </is>
      </c>
      <c r="D15" s="3" t="inlineStr">
        <is>
          <t>Eigenbau, 20x22 mm</t>
        </is>
      </c>
      <c r="E15" s="7" t="n">
        <v>1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Mikroschalter D2F (oder ähnlich)</t>
        </is>
      </c>
      <c r="D16" s="3" t="inlineStr">
        <is>
          <t>Fußkontakt; Maße im Bein-Makro (sw_*) anpassen</t>
        </is>
      </c>
      <c r="E16" s="7" t="n">
        <v>6</v>
      </c>
      <c r="F16" s="7" t="n">
        <v>2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Energie</t>
        </is>
      </c>
      <c r="C17" s="3" t="inlineStr">
        <is>
          <t>LiPo ZEEE 3S 9000 mAh</t>
        </is>
      </c>
      <c r="D17" s="3" t="inlineStr">
        <is>
          <t>ca. 170x50x32 mm, Deans (Buchse am Akku)</t>
        </is>
      </c>
      <c r="E17" s="7" t="n">
        <v>1</v>
      </c>
      <c r="F17" s="7" t="n">
        <v>0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Energie</t>
        </is>
      </c>
      <c r="C18" s="3" t="inlineStr">
        <is>
          <t>BMS 3S (Daly 12 V 60 A oder 30–40 A)</t>
        </is>
      </c>
      <c r="D18" s="3" t="inlineStr">
        <is>
          <t>kleineres BMS reicht (Mittel ~10 A, Spitzen 20–30 A)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n"/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Flachsicherung 30–40 A + Halter</t>
        </is>
      </c>
      <c r="D19" s="3" t="inlineStr">
        <is>
          <t>direkt am Akku</t>
        </is>
      </c>
      <c r="E19" s="7" t="n">
        <v>1</v>
      </c>
      <c r="F19" s="7" t="n">
        <v>1</v>
      </c>
      <c r="G19" s="3">
        <f>E19+F19</f>
        <v/>
      </c>
      <c r="H19" s="8" t="n"/>
      <c r="I19" s="9">
        <f>IF(H19="","",G19*H19)</f>
        <v/>
      </c>
      <c r="J19" s="10" t="n"/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Relaismodul 8-Kanal</t>
        </is>
      </c>
      <c r="D20" s="3" t="inlineStr">
        <is>
          <t>oder kleineres 2–4-Kanal-Modul</t>
        </is>
      </c>
      <c r="E20" s="7" t="n">
        <v>1</v>
      </c>
      <c r="F20" s="7" t="n">
        <v>0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Deans-T-Stecker (Stifte, Robot-Seite)</t>
        </is>
      </c>
      <c r="D21" s="3" t="inlineStr">
        <is>
          <t>Gegenstück zur Deans-Buchse am Akku; sitzt im Steckerhalter (untere Platte hinten)</t>
        </is>
      </c>
      <c r="E21" s="7" t="n">
        <v>1</v>
      </c>
      <c r="F21" s="7" t="n">
        <v>1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Litze AWG20 rot/schwarz (m)</t>
        </is>
      </c>
      <c r="D22" s="3" t="inlineStr">
        <is>
          <t>Stromschienen je Seite</t>
        </is>
      </c>
      <c r="E22" s="7" t="n">
        <v>4</v>
      </c>
      <c r="F22" s="7" t="n">
        <v>1</v>
      </c>
      <c r="G22" s="3">
        <f>E22+F22</f>
        <v/>
      </c>
      <c r="H22" s="8" t="n"/>
      <c r="I22" s="9">
        <f>IF(H22="","",G22*H22)</f>
        <v/>
      </c>
      <c r="J22" s="10" t="n"/>
      <c r="K22" s="10" t="n"/>
    </row>
    <row r="23">
      <c r="A23" s="3" t="n">
        <v>22</v>
      </c>
      <c r="B23" s="3" t="inlineStr">
        <is>
          <t>Verdrahtung</t>
        </is>
      </c>
      <c r="C23" s="3" t="inlineStr">
        <is>
          <t>Verteilerplatine je Bein (Lochraster, XH2.54)</t>
        </is>
      </c>
      <c r="D23" s="3" t="inlineStr">
        <is>
          <t>Eigenbau</t>
        </is>
      </c>
      <c r="E23" s="7" t="n">
        <v>6</v>
      </c>
      <c r="F23" s="7" t="n">
        <v>1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Verdrahtung</t>
        </is>
      </c>
      <c r="C24" s="3" t="inlineStr">
        <is>
          <t>JST-XH 2,54 Steckverbinder-Sortiment</t>
        </is>
      </c>
      <c r="D24" s="3" t="n"/>
      <c r="E24" s="7" t="n">
        <v>1</v>
      </c>
      <c r="F24" s="7" t="n">
        <v>0</v>
      </c>
      <c r="G24" s="3">
        <f>E24+F24</f>
        <v/>
      </c>
      <c r="H24" s="8" t="n"/>
      <c r="I24" s="9">
        <f>IF(H24="","",G24*H24)</f>
        <v/>
      </c>
      <c r="J24" s="10" t="n"/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Diode 1N4148</t>
        </is>
      </c>
      <c r="D25" s="3" t="inlineStr">
        <is>
          <t>Abschaltschaltung Pi</t>
        </is>
      </c>
      <c r="E25" s="7" t="n">
        <v>2</v>
      </c>
      <c r="F25" s="7" t="n">
        <v>2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Dupont-Kabel (Trigger/Strobe)</t>
        </is>
      </c>
      <c r="D26" s="3" t="inlineStr">
        <is>
          <t>Kameras &lt;-&gt; Trigger-Platine</t>
        </is>
      </c>
      <c r="E26" s="7" t="n">
        <v>4</v>
      </c>
      <c r="F26" s="7" t="n">
        <v>2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Verbindung</t>
        </is>
      </c>
      <c r="C27" s="3" t="inlineStr">
        <is>
          <t>Zylinderschraube M3x8 (ISO 7380/4762)</t>
        </is>
      </c>
      <c r="D27" s="3" t="inlineStr">
        <is>
          <t>Gabelwange oben -&gt; Horn, 4 je Gelenk; NICHT länger (Servogehäuse)</t>
        </is>
      </c>
      <c r="E27" s="7" t="n">
        <v>72</v>
      </c>
      <c r="F27" s="7" t="n">
        <v>8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Verbindung</t>
        </is>
      </c>
      <c r="C28" s="3" t="inlineStr">
        <is>
          <t>Zylinderschraube M3x6</t>
        </is>
      </c>
      <c r="D28" s="3" t="inlineStr">
        <is>
          <t>Gabelwange unten -&gt; Rückscheibe, 4 je Gelenk; nicht länger</t>
        </is>
      </c>
      <c r="E28" s="7" t="n">
        <v>72</v>
      </c>
      <c r="F28" s="7" t="n">
        <v>8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Verbindung</t>
        </is>
      </c>
      <c r="C29" s="3" t="inlineStr">
        <is>
          <t>Blechschraube 2x5 (beiliegend bei ST3215)</t>
        </is>
      </c>
      <c r="D29" s="3" t="inlineStr">
        <is>
          <t>Coxa 4 je Servo (Platten), Bein-Servos 2 je Servo</t>
        </is>
      </c>
      <c r="E29" s="7" t="n">
        <v>48</v>
      </c>
      <c r="F29" s="7" t="n">
        <v>0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Verbindung</t>
        </is>
      </c>
      <c r="C30" s="3" t="inlineStr">
        <is>
          <t>Zylinderschraube M3x50</t>
        </is>
      </c>
      <c r="D30" s="3" t="inlineStr">
        <is>
          <t>6 Säulen unter den Panzersäulen, von unten in den Gewindeeinsatz</t>
        </is>
      </c>
      <c r="E30" s="7" t="n">
        <v>6</v>
      </c>
      <c r="F30" s="7" t="n">
        <v>1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Verbindung</t>
        </is>
      </c>
      <c r="C31" s="3" t="inlineStr">
        <is>
          <t>Gewindeeinsatz M3 (Einschmelzmutter, 5,7 lang, Ø4,6)</t>
        </is>
      </c>
      <c r="D31" s="3" t="inlineStr">
        <is>
          <t>unten in den 6 Panzersäulen</t>
        </is>
      </c>
      <c r="E31" s="7" t="n">
        <v>6</v>
      </c>
      <c r="F31" s="7" t="n">
        <v>2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Verbindung</t>
        </is>
      </c>
      <c r="C32" s="3" t="inlineStr">
        <is>
          <t>Zylinderschraube M3x45</t>
        </is>
      </c>
      <c r="D32" s="3" t="inlineStr">
        <is>
          <t>2 Säulen bei x = -40 (mit Mutter, kein Panzerpfosten)</t>
        </is>
      </c>
      <c r="E32" s="7" t="n">
        <v>2</v>
      </c>
      <c r="F32" s="7" t="n">
        <v>1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Verbindung</t>
        </is>
      </c>
      <c r="C33" s="3" t="inlineStr">
        <is>
          <t>Zylinderschraube M3x12 + Mutter</t>
        </is>
      </c>
      <c r="D33" s="3" t="inlineStr">
        <is>
          <t>Teilungsspant Panzer</t>
        </is>
      </c>
      <c r="E33" s="7" t="n">
        <v>3</v>
      </c>
      <c r="F33" s="7" t="n">
        <v>1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Verbindung</t>
        </is>
      </c>
      <c r="C34" s="3" t="inlineStr">
        <is>
          <t>Zylinderschraube M3x10</t>
        </is>
      </c>
      <c r="D34" s="3" t="inlineStr">
        <is>
          <t>Plattenstoß, 4 je Platte</t>
        </is>
      </c>
      <c r="E34" s="7" t="n">
        <v>8</v>
      </c>
      <c r="F34" s="7" t="n">
        <v>2</v>
      </c>
      <c r="G34" s="3">
        <f>E34+F34</f>
        <v/>
      </c>
      <c r="H34" s="8" t="n"/>
      <c r="I34" s="9">
        <f>IF(H34="","",G34*H34)</f>
        <v/>
      </c>
      <c r="J34" s="10" t="n"/>
      <c r="K34" s="10" t="n"/>
    </row>
    <row r="35">
      <c r="A35" s="3" t="n">
        <v>34</v>
      </c>
      <c r="B35" s="3" t="inlineStr">
        <is>
          <t>Verbindung</t>
        </is>
      </c>
      <c r="C35" s="3" t="inlineStr">
        <is>
          <t>Sicherungsmutter M3 (Nylonring)</t>
        </is>
      </c>
      <c r="D35" s="3" t="inlineStr">
        <is>
          <t>Säulen + Stoß + Relais</t>
        </is>
      </c>
      <c r="E35" s="7" t="n">
        <v>20</v>
      </c>
      <c r="F35" s="7" t="n">
        <v>4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Verbindung</t>
        </is>
      </c>
      <c r="C36" s="3" t="inlineStr">
        <is>
          <t>Zylinderschraube M3x14</t>
        </is>
      </c>
      <c r="D36" s="3" t="inlineStr">
        <is>
          <t>Relais auf 5-mm-Bolzen (alternativ M2x14)</t>
        </is>
      </c>
      <c r="E36" s="7" t="n">
        <v>4</v>
      </c>
      <c r="F36" s="7" t="n">
        <v>0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Verbindung</t>
        </is>
      </c>
      <c r="C37" s="3" t="inlineStr">
        <is>
          <t>Zylinderschraube M3x10 + Mutter</t>
        </is>
      </c>
      <c r="D37" s="3" t="inlineStr">
        <is>
          <t>DC-DC-Laschen (2) + Modulträger MCP/MUX (4) + Steckerhalter Akku (2)</t>
        </is>
      </c>
      <c r="E37" s="7" t="n">
        <v>8</v>
      </c>
      <c r="F37" s="7" t="n">
        <v>2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Verbindung</t>
        </is>
      </c>
      <c r="C38" s="3" t="inlineStr">
        <is>
          <t>Zylinderschraube M2x6</t>
        </is>
      </c>
      <c r="D38" s="3" t="inlineStr">
        <is>
          <t>Kamera-Platinen, direkt ins 1,7-mm-Kernloch</t>
        </is>
      </c>
      <c r="E38" s="7" t="n">
        <v>8</v>
      </c>
      <c r="F38" s="7" t="n">
        <v>2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Verbindung</t>
        </is>
      </c>
      <c r="C39" s="3" t="inlineStr">
        <is>
          <t>Zylinderschraube M2x25 + Mutter</t>
        </is>
      </c>
      <c r="D39" s="3" t="inlineStr">
        <is>
          <t>Kamerahalter-Laschen durch Sockel + Platte</t>
        </is>
      </c>
      <c r="E39" s="7" t="n">
        <v>2</v>
      </c>
      <c r="F39" s="7" t="n">
        <v>1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Distanzbolzen M2,5x6 (Innen/Innen)</t>
        </is>
      </c>
      <c r="D40" s="3" t="inlineStr">
        <is>
          <t>Pi 5 (M2 geht mit Scheiben)</t>
        </is>
      </c>
      <c r="E40" s="7" t="n">
        <v>4</v>
      </c>
      <c r="F40" s="7" t="n">
        <v>0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Distanzbolzen M2,5x12 (Innen/Innen)</t>
        </is>
      </c>
      <c r="D41" s="3" t="inlineStr">
        <is>
          <t>Treiberboard (Stiftleiste unten 9,4 mm)</t>
        </is>
      </c>
      <c r="E41" s="7" t="n">
        <v>4</v>
      </c>
      <c r="F41" s="7" t="n">
        <v>0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Zylinderschraube M2,5x5</t>
        </is>
      </c>
      <c r="D42" s="3" t="inlineStr">
        <is>
          <t>für die Distanzbolzen, je 2</t>
        </is>
      </c>
      <c r="E42" s="7" t="n">
        <v>16</v>
      </c>
      <c r="F42" s="7" t="n">
        <v>2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Verbindung</t>
        </is>
      </c>
      <c r="C43" s="3" t="inlineStr">
        <is>
          <t>Kunststoff-Unterlegscheiben M2/M2,5/M3 (Sortiment)</t>
        </is>
      </c>
      <c r="D43" s="3" t="n"/>
      <c r="E43" s="7" t="n">
        <v>1</v>
      </c>
      <c r="F43" s="7" t="n">
        <v>0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Verbindung</t>
        </is>
      </c>
      <c r="C44" s="3" t="inlineStr">
        <is>
          <t>Federstahldraht 1,2 mm (m)</t>
        </is>
      </c>
      <c r="D44" s="3" t="inlineStr">
        <is>
          <t>Haltestifte Mikroschalter, bündig abknipsen</t>
        </is>
      </c>
      <c r="E44" s="7" t="n">
        <v>1</v>
      </c>
      <c r="F44" s="7" t="n">
        <v>0</v>
      </c>
      <c r="G44" s="3">
        <f>E44+F44</f>
        <v/>
      </c>
      <c r="H44" s="8" t="n"/>
      <c r="I44" s="9">
        <f>IF(H44="","",G44*H44)</f>
        <v/>
      </c>
      <c r="J44" s="10" t="n"/>
      <c r="K44" s="10" t="n"/>
    </row>
    <row r="45">
      <c r="A45" s="3" t="n">
        <v>44</v>
      </c>
      <c r="B45" s="3" t="inlineStr">
        <is>
          <t>Kleinteile</t>
        </is>
      </c>
      <c r="C45" s="3" t="inlineStr">
        <is>
          <t>Kabelbinder 2,5 mm</t>
        </is>
      </c>
      <c r="D45" s="3" t="inlineStr">
        <is>
          <t>Kabelösen Femur/Tibia</t>
        </is>
      </c>
      <c r="E45" s="7" t="n">
        <v>50</v>
      </c>
      <c r="F45" s="7" t="n">
        <v>0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Kleinteile</t>
        </is>
      </c>
      <c r="C46" s="3" t="inlineStr">
        <is>
          <t>Klettband 20 mm (m)</t>
        </is>
      </c>
      <c r="D46" s="3" t="inlineStr">
        <is>
          <t>Batterie 2 Gurte, BMS 1 Gurt</t>
        </is>
      </c>
      <c r="E46" s="7" t="n">
        <v>1</v>
      </c>
      <c r="F46" s="7" t="n">
        <v>0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Kleinteile</t>
        </is>
      </c>
      <c r="C47" s="3" t="inlineStr">
        <is>
          <t>Moosgummi EPDM 5 mm, selbstklebend (Streifen, ca. 20 mm breit)</t>
        </is>
      </c>
      <c r="D47" s="3" t="inlineStr">
        <is>
          <t>Akku: Streifen unter die obere Platte (Spalt 4,1 mm) gegen Klappern; 1 Stück 20x20 mit Ø9-Loch unter den Kopf des Akku-Riegels</t>
        </is>
      </c>
      <c r="E47" s="7" t="n">
        <v>1</v>
      </c>
      <c r="F47" s="7" t="n">
        <v>0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Kleinteile</t>
        </is>
      </c>
      <c r="C48" s="3" t="inlineStr">
        <is>
          <t>Doppelseitiges Klebeband</t>
        </is>
      </c>
      <c r="D48" s="3" t="inlineStr">
        <is>
          <t>Trigger-Platine</t>
        </is>
      </c>
      <c r="E48" s="7" t="n">
        <v>1</v>
      </c>
      <c r="F48" s="7" t="n">
        <v>0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Kleinteile</t>
        </is>
      </c>
      <c r="C49" s="3" t="inlineStr">
        <is>
          <t>2K-Epoxid oder Sekundenkleber + Primer</t>
        </is>
      </c>
      <c r="D49" s="3" t="inlineStr">
        <is>
          <t>Zierleisten</t>
        </is>
      </c>
      <c r="E49" s="7" t="n">
        <v>1</v>
      </c>
      <c r="F49" s="7" t="n">
        <v>0</v>
      </c>
      <c r="G49" s="3">
        <f>E49+F49</f>
        <v/>
      </c>
      <c r="H49" s="8" t="n"/>
      <c r="I49" s="9">
        <f>IF(H49="","",G49*H49)</f>
        <v/>
      </c>
      <c r="J49" s="10" t="n"/>
      <c r="K49" s="10" t="n"/>
    </row>
    <row r="50">
      <c r="A50" s="3" t="n">
        <v>49</v>
      </c>
      <c r="B50" s="3" t="inlineStr">
        <is>
          <t>Filament</t>
        </is>
      </c>
      <c r="C50" s="3" t="inlineStr">
        <is>
          <t>PETG schwarz (kg)</t>
        </is>
      </c>
      <c r="D50" s="3" t="inlineStr">
        <is>
          <t>siehe Blatt Druckteile; inkl. Probedrucke</t>
        </is>
      </c>
      <c r="E50" s="7" t="n">
        <v>2</v>
      </c>
      <c r="F50" s="7" t="n">
        <v>0</v>
      </c>
      <c r="G50" s="3">
        <f>E50+F50</f>
        <v/>
      </c>
      <c r="H50" s="8" t="n"/>
      <c r="I50" s="9">
        <f>IF(H50="","",G50*H50)</f>
        <v/>
      </c>
      <c r="J50" s="10" t="n"/>
      <c r="K50" s="10" t="n"/>
    </row>
    <row r="51">
      <c r="A51" s="3" t="n">
        <v>50</v>
      </c>
      <c r="B51" s="3" t="inlineStr">
        <is>
          <t>Filament</t>
        </is>
      </c>
      <c r="C51" s="3" t="inlineStr">
        <is>
          <t>TPU 95A (kg)</t>
        </is>
      </c>
      <c r="D51" s="3" t="inlineStr">
        <is>
          <t>Füße</t>
        </is>
      </c>
      <c r="E51" s="7" t="n">
        <v>0.25</v>
      </c>
      <c r="F51" s="7" t="n">
        <v>0</v>
      </c>
      <c r="G51" s="3">
        <f>E51+F51</f>
        <v/>
      </c>
      <c r="H51" s="8" t="n"/>
      <c r="I51" s="9">
        <f>IF(H51="","",G51*H51)</f>
        <v/>
      </c>
      <c r="J51" s="10" t="n"/>
      <c r="K51" s="10" t="n"/>
    </row>
    <row r="52">
      <c r="A52" s="3" t="n">
        <v>51</v>
      </c>
      <c r="B52" s="3" t="inlineStr">
        <is>
          <t>Filament</t>
        </is>
      </c>
      <c r="C52" s="3" t="inlineStr">
        <is>
          <t>PLA orange (kg)</t>
        </is>
      </c>
      <c r="D52" s="3" t="inlineStr">
        <is>
          <t>Zierleisten</t>
        </is>
      </c>
      <c r="E52" s="7" t="n">
        <v>0.1</v>
      </c>
      <c r="F52" s="7" t="n">
        <v>0</v>
      </c>
      <c r="G52" s="3">
        <f>E52+F52</f>
        <v/>
      </c>
      <c r="H52" s="8" t="n"/>
      <c r="I52" s="9">
        <f>IF(H52="","",G52*H52)</f>
        <v/>
      </c>
      <c r="J52" s="10" t="n"/>
      <c r="K52" s="1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2" t="inlineStr">
        <is>
          <t>Summe</t>
        </is>
      </c>
      <c r="I54" s="11">
        <f>SUM(I2:I52)</f>
        <v/>
      </c>
      <c r="J54" s="3" t="n"/>
      <c r="K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inlineStr">
        <is>
          <t>Preise erfasst</t>
        </is>
      </c>
      <c r="I55" s="3">
        <f>COUNT(H2:H52)&amp;" von 51"</f>
        <v/>
      </c>
      <c r="J55" s="3" t="n"/>
      <c r="K55" s="3" t="n"/>
    </row>
  </sheetData>
  <dataValidations count="1">
    <dataValidation sqref="J2:J52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10"/>
    <col width="40" customWidth="1" min="11" max="11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Druckausrichtung / Hinweis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inlineStr">
        <is>
          <t>Gelenkachse senkrecht, 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inlineStr">
        <is>
          <t>wie rechts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</t>
        </is>
      </c>
      <c r="K4" s="3" t="inlineStr">
        <is>
          <t>Gelenkachse senkrecht, Tree Support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</t>
        </is>
      </c>
      <c r="K5" s="3" t="inlineStr">
        <is>
          <t>wie rechts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inlineStr">
        <is>
          <t>Gelenkachse senkrecht, Tree Support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inlineStr">
        <is>
          <t>wie rechts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Gyroid, 5 Wände</t>
        </is>
      </c>
      <c r="K8" s="3" t="inlineStr">
        <is>
          <t>Öffnung nach unten, ohne Stützen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inlineStr">
        <is>
          <t>flach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inlineStr">
        <is>
          <t>flach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30 % Gyroid</t>
        </is>
      </c>
      <c r="K11" s="3" t="inlineStr">
        <is>
          <t>Unterseite aufs Bett, Brim 5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88.45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30 % Gyroid</t>
        </is>
      </c>
      <c r="K12" s="3" t="inlineStr">
        <is>
          <t>kopfüber drucken (Stoßzunge oben)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148.88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30 % Gyroid</t>
        </is>
      </c>
      <c r="K13" s="3" t="inlineStr">
        <is>
          <t>Unterseite aufs Bett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87.37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30 % Gyroid</t>
        </is>
      </c>
      <c r="K14" s="3" t="inlineStr">
        <is>
          <t>Stoßzunge braucht flache Stütze</t>
        </is>
      </c>
    </row>
    <row r="15">
      <c r="A15" s="3" t="inlineStr">
        <is>
          <t>Kamerahalter</t>
        </is>
      </c>
      <c r="B15" s="3" t="inlineStr">
        <is>
          <t>Stereo-Makro V1.5 / Stereo_Mount</t>
        </is>
      </c>
      <c r="C15" s="3" t="inlineStr">
        <is>
          <t>PETG</t>
        </is>
      </c>
      <c r="D15" s="7" t="n">
        <v>1</v>
      </c>
      <c r="E15" s="7" t="n">
        <v>30.7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30 %</t>
        </is>
      </c>
      <c r="K15" s="3" t="inlineStr">
        <is>
          <t>Frontfläche aufs Bett, Brim 6–8 mm, Lüfter erst ab Schicht 4</t>
        </is>
      </c>
    </row>
    <row r="16">
      <c r="A16" s="3" t="inlineStr">
        <is>
          <t>Steckerhalter Akku</t>
        </is>
      </c>
      <c r="B16" s="3" t="inlineStr">
        <is>
          <t>Baseplate-Makro V2.6 / Connector_Holder</t>
        </is>
      </c>
      <c r="C16" s="3" t="inlineStr">
        <is>
          <t>PETG</t>
        </is>
      </c>
      <c r="D16" s="7" t="n">
        <v>1</v>
      </c>
      <c r="E16" s="7" t="n">
        <v>4.06</v>
      </c>
      <c r="F16" s="7" t="n">
        <v>1.27</v>
      </c>
      <c r="G16" s="12">
        <f>E16*F16</f>
        <v/>
      </c>
      <c r="H16" s="7" t="n">
        <v>1</v>
      </c>
      <c r="I16" s="13">
        <f>D16*G16*H16</f>
        <v/>
      </c>
      <c r="J16" s="3" t="inlineStr">
        <is>
          <t>100 %</t>
        </is>
      </c>
      <c r="K16" s="3" t="inlineStr">
        <is>
          <t>Laschen aufs Bett, Tunnel liegen waagrecht (kurze Brücken)</t>
        </is>
      </c>
    </row>
    <row r="17">
      <c r="A17" s="3" t="inlineStr">
        <is>
          <t>Akku-Riegel (Bajonettstift)</t>
        </is>
      </c>
      <c r="B17" s="3" t="inlineStr">
        <is>
          <t>Baseplate-Makro V2.7 / Battery_Latch (STL: SLARC_Battery_Latch_Pin)</t>
        </is>
      </c>
      <c r="C17" s="3" t="inlineStr">
        <is>
          <t>PETG</t>
        </is>
      </c>
      <c r="D17" s="7" t="n">
        <v>1</v>
      </c>
      <c r="E17" s="7" t="n">
        <v>3.63</v>
      </c>
      <c r="F17" s="7" t="n">
        <v>1.27</v>
      </c>
      <c r="G17" s="12">
        <f>E17*F17</f>
        <v/>
      </c>
      <c r="H17" s="7" t="n">
        <v>1</v>
      </c>
      <c r="I17" s="13">
        <f>D17*G17*H17</f>
        <v/>
      </c>
      <c r="J17" s="3" t="inlineStr">
        <is>
          <t>100 %, 4 Wände</t>
        </is>
      </c>
      <c r="K17" s="3" t="inlineStr">
        <is>
          <t>stehend, Kopf aufs Bett, ohne Stützen</t>
        </is>
      </c>
    </row>
    <row r="18">
      <c r="A18" s="3" t="inlineStr">
        <is>
          <t>Rückenpanzer vorn</t>
        </is>
      </c>
      <c r="B18" s="3" t="inlineStr">
        <is>
          <t>slarc_cover_v1.py / Cover_Front</t>
        </is>
      </c>
      <c r="C18" s="3" t="inlineStr">
        <is>
          <t>PETG</t>
        </is>
      </c>
      <c r="D18" s="7" t="n">
        <v>1</v>
      </c>
      <c r="E18" s="7" t="n">
        <v>79.8</v>
      </c>
      <c r="F18" s="7" t="n">
        <v>1.27</v>
      </c>
      <c r="G18" s="12">
        <f>E18*F18</f>
        <v/>
      </c>
      <c r="H18" s="7" t="n">
        <v>0.9</v>
      </c>
      <c r="I18" s="13">
        <f>D18*G18*H18</f>
        <v/>
      </c>
      <c r="J18" s="3" t="inlineStr">
        <is>
          <t>100 % (Gitter, 4 Wände)</t>
        </is>
      </c>
      <c r="K18" s="3" t="inlineStr">
        <is>
          <t>Grundfläche aufs Bett, ohne Stützen</t>
        </is>
      </c>
    </row>
    <row r="19">
      <c r="A19" s="3" t="inlineStr">
        <is>
          <t>Rückenpanzer hinten</t>
        </is>
      </c>
      <c r="B19" s="3" t="inlineStr">
        <is>
          <t>slarc_cover_v1.py / Cover_Rear</t>
        </is>
      </c>
      <c r="C19" s="3" t="inlineStr">
        <is>
          <t>PETG</t>
        </is>
      </c>
      <c r="D19" s="7" t="n">
        <v>1</v>
      </c>
      <c r="E19" s="7" t="n">
        <v>66.3</v>
      </c>
      <c r="F19" s="7" t="n">
        <v>1.27</v>
      </c>
      <c r="G19" s="12">
        <f>E19*F19</f>
        <v/>
      </c>
      <c r="H19" s="7" t="n">
        <v>0.9</v>
      </c>
      <c r="I19" s="13">
        <f>D19*G19*H19</f>
        <v/>
      </c>
      <c r="J19" s="3" t="inlineStr">
        <is>
          <t>100 % (Gitter, 4 Wände)</t>
        </is>
      </c>
      <c r="K19" s="3" t="inlineStr">
        <is>
          <t>Grundfläche aufs Bett, ohne Stützen</t>
        </is>
      </c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>
      <c r="A21" s="2" t="inlineStr">
        <is>
          <t>Summe nach Material</t>
        </is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PETG</t>
        </is>
      </c>
      <c r="B22" s="3" t="n"/>
      <c r="C22" s="3" t="n"/>
      <c r="D22" s="3" t="n"/>
      <c r="E22" s="3" t="n"/>
      <c r="F22" s="3" t="n"/>
      <c r="G22" s="3" t="n"/>
      <c r="H22" s="3" t="inlineStr">
        <is>
          <t>g gesamt</t>
        </is>
      </c>
      <c r="I22" s="13">
        <f>SUMIFS(I2:I19,C2:C19,A22)</f>
        <v/>
      </c>
      <c r="J22" s="3" t="n"/>
      <c r="K22" s="3" t="n"/>
    </row>
    <row r="23">
      <c r="A23" s="3" t="inlineStr">
        <is>
          <t>TPU 95A</t>
        </is>
      </c>
      <c r="B23" s="3" t="n"/>
      <c r="C23" s="3" t="n"/>
      <c r="D23" s="3" t="n"/>
      <c r="E23" s="3" t="n"/>
      <c r="F23" s="3" t="n"/>
      <c r="G23" s="3" t="n"/>
      <c r="H23" s="3" t="inlineStr">
        <is>
          <t>g gesamt</t>
        </is>
      </c>
      <c r="I23" s="13">
        <f>SUMIFS(I2:I19,C2:C19,A23)</f>
        <v/>
      </c>
      <c r="J23" s="3" t="n"/>
      <c r="K23" s="3" t="n"/>
    </row>
    <row r="24">
      <c r="A24" s="3" t="inlineStr">
        <is>
          <t>PLA</t>
        </is>
      </c>
      <c r="B24" s="3" t="n"/>
      <c r="C24" s="3" t="n"/>
      <c r="D24" s="3" t="n"/>
      <c r="E24" s="3" t="n"/>
      <c r="F24" s="3" t="n"/>
      <c r="G24" s="3" t="n"/>
      <c r="H24" s="3" t="inlineStr">
        <is>
          <t>g gesamt</t>
        </is>
      </c>
      <c r="I24" s="13">
        <f>SUMIFS(I2:I19,C2:C19,A24)</f>
        <v/>
      </c>
      <c r="J24" s="3" t="n"/>
      <c r="K24" s="3" t="n"/>
    </row>
    <row r="25">
      <c r="A25" s="2" t="inlineStr">
        <is>
          <t>Alle Druckteile</t>
        </is>
      </c>
      <c r="B25" s="3" t="n"/>
      <c r="C25" s="3" t="n"/>
      <c r="D25" s="3" t="n"/>
      <c r="E25" s="3" t="n"/>
      <c r="F25" s="3" t="n"/>
      <c r="G25" s="3" t="n"/>
      <c r="H25" s="3" t="n"/>
      <c r="I25" s="14">
        <f>SUM(I22:I24)</f>
        <v/>
      </c>
      <c r="J25" s="3" t="n"/>
      <c r="K2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10" defaultColWidth="8.88671875" defaultRowHeight="14.4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Druckteile!I25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2026-10-23T19:11:36Z</dcterms:created>
  <dcterms:modified xmlns:dcterms="http://purl.org/dc/terms/" xmlns:xsi="http://www.w3.org/2001/XMLSchema-instance" xsi:type="dcterms:W3CDTF">2026-10-24T21:09:49Z</dcterms:modified>
  <cp:lastModifiedBy>Marco Vorbach</cp:lastModifiedBy>
</cp:coreProperties>
</file>