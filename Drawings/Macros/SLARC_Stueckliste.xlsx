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V1.4,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Diode 1N4148</t>
        </is>
      </c>
      <c r="D25" s="3" t="inlineStr">
        <is>
          <t>Abschaltschaltung Pi</t>
        </is>
      </c>
      <c r="E25" s="7" t="n">
        <v>2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Dupont-Kabel (Trigger/Strobe)</t>
        </is>
      </c>
      <c r="D26" s="3" t="inlineStr">
        <is>
          <t>Kameras &lt;-&gt; Trigger-Platine</t>
        </is>
      </c>
      <c r="E26" s="7" t="n">
        <v>4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Verbindung</t>
        </is>
      </c>
      <c r="C27" s="3" t="inlineStr">
        <is>
          <t>Zylinderschraube M3x8 (ISO 7380/4762)</t>
        </is>
      </c>
      <c r="D27" s="3" t="inlineStr">
        <is>
          <t>Gabelwange oben -&gt; Horn, 4 je Gelenk; NICHT länger (Servogehäuse)</t>
        </is>
      </c>
      <c r="E27" s="7" t="n">
        <v>72</v>
      </c>
      <c r="F27" s="7" t="n">
        <v>8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M3x6</t>
        </is>
      </c>
      <c r="D28" s="3" t="inlineStr">
        <is>
          <t>Gabelwange unten -&gt; Rückscheibe, 4 je Gelenk; nicht länger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Blechschraube 2x5 (beiliegend bei ST3215)</t>
        </is>
      </c>
      <c r="D29" s="3" t="inlineStr">
        <is>
          <t>Coxa 4 je Servo (Platten), Bein-Servos 2 je Servo</t>
        </is>
      </c>
      <c r="E29" s="7" t="n">
        <v>48</v>
      </c>
      <c r="F29" s="7" t="n">
        <v>0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Zylinderschraube M3x50</t>
        </is>
      </c>
      <c r="D30" s="3" t="inlineStr">
        <is>
          <t>6 Säulen unter den Panzersäulen, von unten in den Gewindeeinsatz</t>
        </is>
      </c>
      <c r="E30" s="7" t="n">
        <v>6</v>
      </c>
      <c r="F30" s="7" t="n">
        <v>1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Gewindeeinsatz M3 (Einschmelzmutter, 5,7 lang, Ø4,6)</t>
        </is>
      </c>
      <c r="D31" s="3" t="inlineStr">
        <is>
          <t>unten in den 6 Panzersäulen</t>
        </is>
      </c>
      <c r="E31" s="7" t="n">
        <v>6</v>
      </c>
      <c r="F31" s="7" t="n">
        <v>2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Zylinderschraube M3x45</t>
        </is>
      </c>
      <c r="D32" s="3" t="inlineStr">
        <is>
          <t>2 Säulen bei x = -40 (mit Mutter, kein Panzerpfosten)</t>
        </is>
      </c>
      <c r="E32" s="7" t="n">
        <v>2</v>
      </c>
      <c r="F32" s="7" t="n">
        <v>1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Zylinderschraube M3x12 + Mutter</t>
        </is>
      </c>
      <c r="D33" s="3" t="inlineStr">
        <is>
          <t>Teilungsspant Panzer</t>
        </is>
      </c>
      <c r="E33" s="7" t="n">
        <v>3</v>
      </c>
      <c r="F33" s="7" t="n">
        <v>1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M3x10</t>
        </is>
      </c>
      <c r="D34" s="3" t="inlineStr">
        <is>
          <t>Plattenstoß, 4 je Platte</t>
        </is>
      </c>
      <c r="E34" s="7" t="n">
        <v>8</v>
      </c>
      <c r="F34" s="7" t="n">
        <v>2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Sicherungsmutter M3 (Nylonring)</t>
        </is>
      </c>
      <c r="D35" s="3" t="inlineStr">
        <is>
          <t>Säulen + Stoß + Relais</t>
        </is>
      </c>
      <c r="E35" s="7" t="n">
        <v>20</v>
      </c>
      <c r="F35" s="7" t="n">
        <v>4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Zylinderschraube M3x14</t>
        </is>
      </c>
      <c r="D36" s="3" t="inlineStr">
        <is>
          <t>Relais auf 5-mm-Bolzen (alternativ M2x14)</t>
        </is>
      </c>
      <c r="E36" s="7" t="n">
        <v>4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M3x10 + Mutter</t>
        </is>
      </c>
      <c r="D37" s="3" t="inlineStr">
        <is>
          <t>DC-DC-Laschen (2) + Modulträger MCP/MUX (4) + Steckerhalter Akku (2)</t>
        </is>
      </c>
      <c r="E37" s="7" t="n">
        <v>8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M2x6</t>
        </is>
      </c>
      <c r="D38" s="3" t="inlineStr">
        <is>
          <t>Kamera-Platinen, direkt ins 1,7-mm-Kernloch</t>
        </is>
      </c>
      <c r="E38" s="7" t="n">
        <v>8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M2x25 + Mutter</t>
        </is>
      </c>
      <c r="D39" s="3" t="inlineStr">
        <is>
          <t>Kamerahalter-Laschen durch Sockel + Platte</t>
        </is>
      </c>
      <c r="E39" s="7" t="n">
        <v>2</v>
      </c>
      <c r="F39" s="7" t="n">
        <v>1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Distanzbolzen M2,5x6 (Innen/Innen)</t>
        </is>
      </c>
      <c r="D40" s="3" t="inlineStr">
        <is>
          <t>Pi 5 (M2 geht mit Scheiben)</t>
        </is>
      </c>
      <c r="E40" s="7" t="n">
        <v>4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Distanzbolzen M2,5x12 (Innen/Innen)</t>
        </is>
      </c>
      <c r="D41" s="3" t="inlineStr">
        <is>
          <t>Treiberboard (Stiftleiste unten 9,4 mm)</t>
        </is>
      </c>
      <c r="E41" s="7" t="n">
        <v>4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Zylinderschraube M2,5x5</t>
        </is>
      </c>
      <c r="D42" s="3" t="inlineStr">
        <is>
          <t>für die Distanzbolzen, je 2</t>
        </is>
      </c>
      <c r="E42" s="7" t="n">
        <v>16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Kunststoff-Unterlegscheiben M2/M2,5/M3 (Sortiment)</t>
        </is>
      </c>
      <c r="D43" s="3" t="n"/>
      <c r="E43" s="7" t="n">
        <v>1</v>
      </c>
      <c r="F43" s="7" t="n">
        <v>0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Federstahldraht 1,2 mm (m)</t>
        </is>
      </c>
      <c r="D44" s="3" t="inlineStr">
        <is>
          <t>Haltestifte Mikroschalter, bündig abknipsen</t>
        </is>
      </c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Kleinteile</t>
        </is>
      </c>
      <c r="C45" s="3" t="inlineStr">
        <is>
          <t>Kabelbinder 2,5 mm</t>
        </is>
      </c>
      <c r="D45" s="3" t="inlineStr">
        <is>
          <t>Kabelösen Femur/Tibia</t>
        </is>
      </c>
      <c r="E45" s="7" t="n">
        <v>50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Klettband 20 mm (m)</t>
        </is>
      </c>
      <c r="D46" s="3" t="inlineStr">
        <is>
          <t>Batterie 2 Gurte, BMS 1 Gurt</t>
        </is>
      </c>
      <c r="E46" s="7" t="n">
        <v>1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Kleinteile</t>
        </is>
      </c>
      <c r="C47" s="3" t="inlineStr">
        <is>
          <t>Moosgummi EPDM 5 mm, selbstklebend (Streifen, ca. 20 mm breit)</t>
        </is>
      </c>
      <c r="D47" s="3" t="inlineStr">
        <is>
          <t>Akku: Streifen unter die obere Platte (Spalt 4,1 mm) gegen Klappern; 2 Stücke 20x20 mit Ø9-Loch unter die Köpfe der Akku-Riegel</t>
        </is>
      </c>
      <c r="E47" s="7" t="n">
        <v>1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Kleinteile</t>
        </is>
      </c>
      <c r="C48" s="3" t="inlineStr">
        <is>
          <t>Doppelseitiges Klebeband</t>
        </is>
      </c>
      <c r="D48" s="3" t="inlineStr">
        <is>
          <t>Trigger-Platine</t>
        </is>
      </c>
      <c r="E48" s="7" t="n">
        <v>1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Kleinteile</t>
        </is>
      </c>
      <c r="C49" s="3" t="inlineStr">
        <is>
          <t>2K-Epoxid oder Sekundenkleber + Primer</t>
        </is>
      </c>
      <c r="D49" s="3" t="inlineStr">
        <is>
          <t>Zierleisten</t>
        </is>
      </c>
      <c r="E49" s="7" t="n">
        <v>1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Filament</t>
        </is>
      </c>
      <c r="C50" s="3" t="inlineStr">
        <is>
          <t>PETG schwarz (kg)</t>
        </is>
      </c>
      <c r="D50" s="3" t="inlineStr">
        <is>
          <t>siehe Blatt Druckteile; inkl. Probedrucke</t>
        </is>
      </c>
      <c r="E50" s="7" t="n">
        <v>2</v>
      </c>
      <c r="F50" s="7" t="n">
        <v>0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Filament</t>
        </is>
      </c>
      <c r="C51" s="3" t="inlineStr">
        <is>
          <t>TPU 95A (kg)</t>
        </is>
      </c>
      <c r="D51" s="3" t="inlineStr">
        <is>
          <t>Füße</t>
        </is>
      </c>
      <c r="E51" s="7" t="n">
        <v>0.25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Filament</t>
        </is>
      </c>
      <c r="C52" s="3" t="inlineStr">
        <is>
          <t>PLA orange (kg)</t>
        </is>
      </c>
      <c r="D52" s="3" t="inlineStr">
        <is>
          <t>Zierleisten</t>
        </is>
      </c>
      <c r="E52" s="7" t="n">
        <v>0.1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2" t="inlineStr">
        <is>
          <t>Summe</t>
        </is>
      </c>
      <c r="I54" s="11">
        <f>SUM(I2:I52)</f>
        <v/>
      </c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inlineStr">
        <is>
          <t>Preise erfasst</t>
        </is>
      </c>
      <c r="I55" s="3">
        <f>COUNT(H2:H52)&amp;" von 51"</f>
        <v/>
      </c>
      <c r="J55" s="3" t="n"/>
      <c r="K55" s="3" t="n"/>
    </row>
  </sheetData>
  <dataValidations count="1">
    <dataValidation sqref="J2:J52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88.19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87.11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V1.4 / Stereo_Mount</t>
        </is>
      </c>
      <c r="C15" s="3" t="inlineStr">
        <is>
          <t>PETG</t>
        </is>
      </c>
      <c r="D15" s="7" t="n">
        <v>1</v>
      </c>
      <c r="E15" s="7" t="n">
        <v>31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2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2" t="inlineStr">
        <is>
          <t>Summe nach Material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PETG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SUMIFS(I2:I19,C2:C19,A22)</f>
        <v/>
      </c>
      <c r="J22" s="3" t="n"/>
      <c r="K22" s="3" t="n"/>
    </row>
    <row r="23">
      <c r="A23" s="3" t="inlineStr">
        <is>
          <t>TPU 95A</t>
        </is>
      </c>
      <c r="B23" s="3" t="n"/>
      <c r="C23" s="3" t="n"/>
      <c r="D23" s="3" t="n"/>
      <c r="E23" s="3" t="n"/>
      <c r="F23" s="3" t="n"/>
      <c r="G23" s="3" t="n"/>
      <c r="H23" s="3" t="inlineStr">
        <is>
          <t>g gesamt</t>
        </is>
      </c>
      <c r="I23" s="13">
        <f>SUMIFS(I2:I19,C2:C19,A23)</f>
        <v/>
      </c>
      <c r="J23" s="3" t="n"/>
      <c r="K23" s="3" t="n"/>
    </row>
    <row r="24">
      <c r="A24" s="3" t="inlineStr">
        <is>
          <t>PLA</t>
        </is>
      </c>
      <c r="B24" s="3" t="n"/>
      <c r="C24" s="3" t="n"/>
      <c r="D24" s="3" t="n"/>
      <c r="E24" s="3" t="n"/>
      <c r="F24" s="3" t="n"/>
      <c r="G24" s="3" t="n"/>
      <c r="H24" s="3" t="inlineStr">
        <is>
          <t>g gesamt</t>
        </is>
      </c>
      <c r="I24" s="13">
        <f>SUMIFS(I2:I19,C2:C19,A24)</f>
        <v/>
      </c>
      <c r="J24" s="3" t="n"/>
      <c r="K24" s="3" t="n"/>
    </row>
    <row r="25">
      <c r="A25" s="2" t="inlineStr">
        <is>
          <t>Alle Druckteile</t>
        </is>
      </c>
      <c r="B25" s="3" t="n"/>
      <c r="C25" s="3" t="n"/>
      <c r="D25" s="3" t="n"/>
      <c r="E25" s="3" t="n"/>
      <c r="F25" s="3" t="n"/>
      <c r="G25" s="3" t="n"/>
      <c r="H25" s="3" t="n"/>
      <c r="I25" s="14">
        <f>SUM(I22:I24)</f>
        <v/>
      </c>
      <c r="J25" s="3" t="n"/>
      <c r="K2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Druckteile!I25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2026-10-24T16:02:38Z</dcterms:modified>
  <cp:lastModifiedBy>Marco Vorbach</cp:lastModifiedBy>
</cp:coreProperties>
</file>