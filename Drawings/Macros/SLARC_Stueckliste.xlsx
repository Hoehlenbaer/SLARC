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" autoFilterDateGrouping="1"/>
  </bookViews>
  <sheets>
    <sheet xmlns:r="http://schemas.openxmlformats.org/officeDocument/2006/relationships" name="Legende" sheetId="1" state="visible" r:id="rId1"/>
    <sheet xmlns:r="http://schemas.openxmlformats.org/officeDocument/2006/relationships" name="Kaufteile" sheetId="2" state="visible" r:id="rId2"/>
    <sheet xmlns:r="http://schemas.openxmlformats.org/officeDocument/2006/relationships" name="Druckteile" sheetId="3" state="visible" r:id="rId3"/>
    <sheet xmlns:r="http://schemas.openxmlformats.org/officeDocument/2006/relationships" name="Gewich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#,##0.00\ &quot;€&quot;;\-#,##0.00\ &quot;€&quot;;\-"/>
    <numFmt numFmtId="166" formatCode="0.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color rgb="FF0000FF"/>
      <sz val="11"/>
    </font>
    <font>
      <name val="Arial"/>
      <family val="2"/>
      <color rgb="FF0000FF"/>
      <sz val="11"/>
    </font>
    <font>
      <name val="Arial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2B3"/>
      </patternFill>
    </fill>
    <fill>
      <patternFill patternType="solid">
        <fgColor rgb="FF2B2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6" fillId="3" borderId="0" applyAlignment="1" pivotButton="0" quotePrefix="0" xfId="0">
      <alignment vertical="center" wrapText="1"/>
    </xf>
    <xf numFmtId="0" fontId="5" fillId="0" borderId="0" pivotButton="0" quotePrefix="0" xfId="0"/>
    <xf numFmtId="164" fontId="3" fillId="2" borderId="0" pivotButton="0" quotePrefix="0" xfId="0"/>
    <xf numFmtId="165" fontId="3" fillId="0" borderId="0" pivotButton="0" quotePrefix="0" xfId="0"/>
    <xf numFmtId="0" fontId="3" fillId="2" borderId="0" pivotButton="0" quotePrefix="0" xfId="0"/>
    <xf numFmtId="164" fontId="2" fillId="0" borderId="0" pivotButton="0" quotePrefix="0" xfId="0"/>
    <xf numFmtId="166" fontId="3" fillId="0" borderId="0" pivotButton="0" quotePrefix="0" xfId="0"/>
    <xf numFmtId="1" fontId="3" fillId="0" borderId="0" pivotButton="0" quotePrefix="0" xfId="0"/>
    <xf numFmtId="1" fontId="2" fillId="0" borderId="0" pivotButton="0" quotePrefix="0" xfId="0"/>
    <xf numFmtId="3" fontId="3" fillId="0" borderId="0" pivotButton="0" quotePrefix="0" xfId="0"/>
    <xf numFmtId="3" fontId="5" fillId="0" borderId="0" pivotButton="0" quotePrefix="0" xfId="0"/>
    <xf numFmtId="3" fontId="2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8671875" defaultRowHeight="14.4"/>
  <cols>
    <col width="20" customWidth="1" min="1" max="1"/>
    <col width="110" customWidth="1" min="2" max="2"/>
  </cols>
  <sheetData>
    <row r="1" ht="17.4" customHeight="1">
      <c r="A1" s="1" t="inlineStr">
        <is>
          <t>SLARC – Stückliste (BOM)</t>
        </is>
      </c>
    </row>
    <row r="2">
      <c r="A2" s="2" t="n"/>
      <c r="B2" s="3" t="n"/>
    </row>
    <row r="3">
      <c r="A3" s="4" t="inlineStr">
        <is>
          <t>Blaue Schrift</t>
        </is>
      </c>
      <c r="B3" s="3" t="inlineStr">
        <is>
          <t>Eingabewerte (Mengen, Volumen, Schätzwerte) – bei Änderungen hier anpassen</t>
        </is>
      </c>
    </row>
    <row r="4">
      <c r="A4" s="5" t="inlineStr">
        <is>
          <t>Gelb hinterlegt</t>
        </is>
      </c>
      <c r="B4" s="3" t="inlineStr">
        <is>
          <t>Von dir auszufüllen: Einzelpreis, Status, Bezugsquelle</t>
        </is>
      </c>
    </row>
    <row r="5">
      <c r="A5" s="2" t="inlineStr">
        <is>
          <t>Schwarze Schrift</t>
        </is>
      </c>
      <c r="B5" s="3" t="inlineStr">
        <is>
          <t>Formeln – nicht überschreiben</t>
        </is>
      </c>
    </row>
    <row r="6">
      <c r="A6" s="2" t="n"/>
      <c r="B6" s="3" t="n"/>
    </row>
    <row r="7">
      <c r="A7" s="2" t="inlineStr">
        <is>
          <t>Stand</t>
        </is>
      </c>
      <c r="B7" s="3" t="inlineStr">
        <is>
          <t>Konstruktion: Bein V9.1 (Femur 150, Tibia 175, Knick 38,6°), Baseplates V2.7 (DC-DC, Modulplätze, Steckerhalter, Akku-Riegel), Kamerahalter V1.4, Panzer V1.1</t>
        </is>
      </c>
    </row>
    <row r="8">
      <c r="A8" s="2" t="inlineStr">
        <is>
          <t>Druckteil-Volumen</t>
        </is>
      </c>
      <c r="B8" s="3" t="inlineStr">
        <is>
          <t>aus dem FreeCAD-Modell (Gesamtmodell, Standardparameter). Ändern sich Femur/Tibia-Längen, ändern sich die Volumen.</t>
        </is>
      </c>
    </row>
    <row r="9">
      <c r="A9" s="2" t="inlineStr">
        <is>
          <t>Gewichte</t>
        </is>
      </c>
      <c r="B9" s="3" t="inlineStr">
        <is>
          <t>Gedruckte Masse = Volumen × Dichte × Füllfaktor. Der Füllfaktor ist eine Schätzung; Cura zeigt nach dem Slicen den echten Wert.</t>
        </is>
      </c>
    </row>
    <row r="10">
      <c r="A10" s="2" t="inlineStr">
        <is>
          <t>Beispielzeile</t>
        </is>
      </c>
      <c r="B10" s="3" t="inlineStr">
        <is>
          <t>Zeile 'Servo ST3215' im Blatt Kaufteile zeigt das Format: Preis eintragen -&gt; Gesamtpreis rechnet sich.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tabSelected="1" workbookViewId="0">
      <pane ySplit="1" topLeftCell="A20" activePane="bottomLeft" state="frozen"/>
      <selection pane="bottomLeft" activeCell="C25" sqref="C25"/>
    </sheetView>
  </sheetViews>
  <sheetFormatPr baseColWidth="10" defaultColWidth="8.88671875" defaultRowHeight="14.4"/>
  <cols>
    <col width="5" customWidth="1" min="1" max="1"/>
    <col width="12" customWidth="1" min="2" max="2"/>
    <col width="44" customWidth="1" min="3" max="3"/>
    <col width="62" customWidth="1" min="4" max="4"/>
    <col width="8" customWidth="1" min="5" max="6"/>
    <col width="12" customWidth="1" min="7" max="7"/>
    <col width="14" customWidth="1" min="8" max="8"/>
    <col width="12" customWidth="1" min="9" max="10"/>
    <col width="20" customWidth="1" min="11" max="11"/>
  </cols>
  <sheetData>
    <row r="1" ht="30" customHeight="1">
      <c r="A1" s="6" t="inlineStr">
        <is>
          <t>Pos</t>
        </is>
      </c>
      <c r="B1" s="6" t="inlineStr">
        <is>
          <t>Gruppe</t>
        </is>
      </c>
      <c r="C1" s="6" t="inlineStr">
        <is>
          <t>Bauteil</t>
        </is>
      </c>
      <c r="D1" s="6" t="inlineStr">
        <is>
          <t>Spezifikation / Hinweis</t>
        </is>
      </c>
      <c r="E1" s="6" t="inlineStr">
        <is>
          <t>Menge</t>
        </is>
      </c>
      <c r="F1" s="6" t="inlineStr">
        <is>
          <t>Reserve</t>
        </is>
      </c>
      <c r="G1" s="6" t="inlineStr">
        <is>
          <t>Bestellmenge</t>
        </is>
      </c>
      <c r="H1" s="6" t="inlineStr">
        <is>
          <t>Einzelpreis (€)</t>
        </is>
      </c>
      <c r="I1" s="6" t="inlineStr">
        <is>
          <t>Gesamt (€)</t>
        </is>
      </c>
      <c r="J1" s="6" t="inlineStr">
        <is>
          <t>Status</t>
        </is>
      </c>
      <c r="K1" s="6" t="inlineStr">
        <is>
          <t>Bezugsquelle</t>
        </is>
      </c>
    </row>
    <row r="2">
      <c r="A2" s="3" t="n">
        <v>1</v>
      </c>
      <c r="B2" s="3" t="inlineStr">
        <is>
          <t>Antrieb</t>
        </is>
      </c>
      <c r="C2" s="3" t="inlineStr">
        <is>
          <t>Servo ST3215 (Feetech/Waveshare, 12 V)</t>
        </is>
      </c>
      <c r="D2" s="3" t="inlineStr">
        <is>
          <t>30 kg·cm (2,94 Nm) Stall; Blechschrauben 2x5 beiliegend</t>
        </is>
      </c>
      <c r="E2" s="7" t="n">
        <v>18</v>
      </c>
      <c r="F2" s="7" t="n">
        <v>2</v>
      </c>
      <c r="G2" s="3">
        <f>E2+F2</f>
        <v/>
      </c>
      <c r="H2" s="8" t="n">
        <v>24.9</v>
      </c>
      <c r="I2" s="9">
        <f>IF(H2="","",G2*H2)</f>
        <v/>
      </c>
      <c r="J2" s="10" t="n"/>
      <c r="K2" s="10" t="n"/>
    </row>
    <row r="3">
      <c r="A3" s="3" t="n">
        <v>2</v>
      </c>
      <c r="B3" s="3" t="inlineStr">
        <is>
          <t>Steuerung</t>
        </is>
      </c>
      <c r="C3" s="3" t="inlineStr">
        <is>
          <t>Raspberry Pi 5</t>
        </is>
      </c>
      <c r="D3" s="3" t="inlineStr">
        <is>
          <t>inkl. Active Cooler</t>
        </is>
      </c>
      <c r="E3" s="7" t="n">
        <v>1</v>
      </c>
      <c r="F3" s="7" t="n">
        <v>0</v>
      </c>
      <c r="G3" s="3">
        <f>E3+F3</f>
        <v/>
      </c>
      <c r="H3" s="8" t="n"/>
      <c r="I3" s="9">
        <f>IF(H3="","",G3*H3)</f>
        <v/>
      </c>
      <c r="J3" s="10" t="n"/>
      <c r="K3" s="10" t="n"/>
    </row>
    <row r="4">
      <c r="A4" s="3" t="n">
        <v>3</v>
      </c>
      <c r="B4" s="3" t="inlineStr">
        <is>
          <t>Steuerung</t>
        </is>
      </c>
      <c r="C4" s="3" t="inlineStr">
        <is>
          <t>Raspberry Pi Active Cooler</t>
        </is>
      </c>
      <c r="D4" s="3" t="inlineStr">
        <is>
          <t>falls nicht beim Pi</t>
        </is>
      </c>
      <c r="E4" s="7" t="n">
        <v>1</v>
      </c>
      <c r="F4" s="7" t="n">
        <v>0</v>
      </c>
      <c r="G4" s="3">
        <f>E4+F4</f>
        <v/>
      </c>
      <c r="H4" s="8" t="n"/>
      <c r="I4" s="9">
        <f>IF(H4="","",G4*H4)</f>
        <v/>
      </c>
      <c r="J4" s="10" t="n"/>
      <c r="K4" s="10" t="n"/>
    </row>
    <row r="5">
      <c r="A5" s="3" t="n">
        <v>4</v>
      </c>
      <c r="B5" s="3" t="inlineStr">
        <is>
          <t>Steuerung</t>
        </is>
      </c>
      <c r="C5" s="3" t="inlineStr">
        <is>
          <t>Hailo-8 AI HAT+ (26 TOPS)</t>
        </is>
      </c>
      <c r="D5" s="3" t="inlineStr">
        <is>
          <t>bringt eigene Abstandsbolzen + GPIO-Verlängerung mit</t>
        </is>
      </c>
      <c r="E5" s="7" t="n">
        <v>1</v>
      </c>
      <c r="F5" s="7" t="n">
        <v>0</v>
      </c>
      <c r="G5" s="3">
        <f>E5+F5</f>
        <v/>
      </c>
      <c r="H5" s="8" t="n"/>
      <c r="I5" s="9">
        <f>IF(H5="","",G5*H5)</f>
        <v/>
      </c>
      <c r="J5" s="10" t="n"/>
      <c r="K5" s="10" t="n"/>
    </row>
    <row r="6">
      <c r="A6" s="3" t="n">
        <v>5</v>
      </c>
      <c r="B6" s="3" t="inlineStr">
        <is>
          <t>Steuerung</t>
        </is>
      </c>
      <c r="C6" s="3" t="inlineStr">
        <is>
          <t>Waveshare General Driver for Robots</t>
        </is>
      </c>
      <c r="D6" s="3" t="inlineStr">
        <is>
          <t>ESP32, Bus-Servo-Anschluss</t>
        </is>
      </c>
      <c r="E6" s="7" t="n">
        <v>1</v>
      </c>
      <c r="F6" s="7" t="n">
        <v>0</v>
      </c>
      <c r="G6" s="3">
        <f>E6+F6</f>
        <v/>
      </c>
      <c r="H6" s="8" t="n"/>
      <c r="I6" s="9">
        <f>IF(H6="","",G6*H6)</f>
        <v/>
      </c>
      <c r="J6" s="10" t="n"/>
      <c r="K6" s="10" t="n"/>
    </row>
    <row r="7">
      <c r="A7" s="3" t="n">
        <v>6</v>
      </c>
      <c r="B7" s="3" t="inlineStr">
        <is>
          <t>Energie</t>
        </is>
      </c>
      <c r="C7" s="3" t="inlineStr">
        <is>
          <t>DC-DC 12 V -&gt; 5 V / 5 A Fulree F35J5V5A1S-C</t>
        </is>
      </c>
      <c r="D7" s="3" t="inlineStr">
        <is>
          <t>Versorgung Pi 5; 46,2x27,5x14, auf Baseplate oben hinten</t>
        </is>
      </c>
      <c r="E7" s="7" t="n">
        <v>1</v>
      </c>
      <c r="F7" s="7" t="n">
        <v>0</v>
      </c>
      <c r="G7" s="3">
        <f>E7+F7</f>
        <v/>
      </c>
      <c r="H7" s="8" t="n"/>
      <c r="I7" s="9">
        <f>IF(H7="","",G7*H7)</f>
        <v/>
      </c>
      <c r="J7" s="10" t="n"/>
      <c r="K7" s="10" t="n"/>
    </row>
    <row r="8">
      <c r="A8" s="3" t="n">
        <v>7</v>
      </c>
      <c r="B8" s="3" t="inlineStr">
        <is>
          <t>Steuerung</t>
        </is>
      </c>
      <c r="C8" s="3" t="inlineStr">
        <is>
          <t>IO-Expander MCP23017 (Breakout)</t>
        </is>
      </c>
      <c r="D8" s="3" t="inlineStr">
        <is>
          <t>I2C, 6 Fußkontakte + Status-LEDs an Bank B; INTA -&gt; GPIO34/35</t>
        </is>
      </c>
      <c r="E8" s="7" t="n">
        <v>1</v>
      </c>
      <c r="F8" s="7" t="n">
        <v>0</v>
      </c>
      <c r="G8" s="3">
        <f>E8+F8</f>
        <v/>
      </c>
      <c r="H8" s="8" t="n"/>
      <c r="I8" s="9">
        <f>IF(H8="","",G8*H8)</f>
        <v/>
      </c>
      <c r="J8" s="10" t="n"/>
      <c r="K8" s="10" t="n"/>
    </row>
    <row r="9">
      <c r="A9" s="3" t="n">
        <v>8</v>
      </c>
      <c r="B9" s="3" t="inlineStr">
        <is>
          <t>Steuerung</t>
        </is>
      </c>
      <c r="C9" s="3" t="inlineStr">
        <is>
          <t>I2C-Hub / Multiplexer TCA9548A (optional)</t>
        </is>
      </c>
      <c r="D9" s="3" t="inlineStr">
        <is>
          <t>Modulplatz MUX ist reserviert</t>
        </is>
      </c>
      <c r="E9" s="7" t="n">
        <v>1</v>
      </c>
      <c r="F9" s="7" t="n">
        <v>0</v>
      </c>
      <c r="G9" s="3">
        <f>E9+F9</f>
        <v/>
      </c>
      <c r="H9" s="8" t="n"/>
      <c r="I9" s="9">
        <f>IF(H9="","",G9*H9)</f>
        <v/>
      </c>
      <c r="J9" s="10" t="n"/>
      <c r="K9" s="10" t="n"/>
    </row>
    <row r="10">
      <c r="A10" s="3" t="n">
        <v>9</v>
      </c>
      <c r="B10" s="3" t="inlineStr">
        <is>
          <t>Verdrahtung</t>
        </is>
      </c>
      <c r="C10" s="3" t="inlineStr">
        <is>
          <t>Widerstand 10 kΩ</t>
        </is>
      </c>
      <c r="D10" s="3" t="inlineStr">
        <is>
          <t>externe Pull-ups Fußkontakte (lange Kabel)</t>
        </is>
      </c>
      <c r="E10" s="7" t="n">
        <v>6</v>
      </c>
      <c r="F10" s="7" t="n">
        <v>4</v>
      </c>
      <c r="G10" s="3">
        <f>E10+F10</f>
        <v/>
      </c>
      <c r="H10" s="8" t="n"/>
      <c r="I10" s="9">
        <f>IF(H10="","",G10*H10)</f>
        <v/>
      </c>
      <c r="J10" s="10" t="n"/>
      <c r="K10" s="10" t="n"/>
    </row>
    <row r="11">
      <c r="A11" s="3" t="n">
        <v>10</v>
      </c>
      <c r="B11" s="3" t="inlineStr">
        <is>
          <t>Verdrahtung</t>
        </is>
      </c>
      <c r="C11" s="3" t="inlineStr">
        <is>
          <t>WS2812B-LED-Streifen (optional)</t>
        </is>
      </c>
      <c r="D11" s="3" t="inlineStr">
        <is>
          <t>Daten an IO4 (3-pol. Servoanschluss Treiberboard), 5 V vom DC-DC</t>
        </is>
      </c>
      <c r="E11" s="7" t="n">
        <v>1</v>
      </c>
      <c r="F11" s="7" t="n">
        <v>0</v>
      </c>
      <c r="G11" s="3">
        <f>E11+F11</f>
        <v/>
      </c>
      <c r="H11" s="8" t="n"/>
      <c r="I11" s="9">
        <f>IF(H11="","",G11*H11)</f>
        <v/>
      </c>
      <c r="J11" s="10" t="n"/>
      <c r="K11" s="10" t="n"/>
    </row>
    <row r="12">
      <c r="A12" s="3" t="n">
        <v>11</v>
      </c>
      <c r="B12" s="3" t="inlineStr">
        <is>
          <t>Sensorik</t>
        </is>
      </c>
      <c r="C12" s="3" t="inlineStr">
        <is>
          <t>IMX296 Kamera-Modul mit ext. Trigger</t>
        </is>
      </c>
      <c r="D12" s="3" t="inlineStr">
        <is>
          <t>39x39 mm, M12-Halter</t>
        </is>
      </c>
      <c r="E12" s="7" t="n">
        <v>2</v>
      </c>
      <c r="F12" s="7" t="n">
        <v>0</v>
      </c>
      <c r="G12" s="3">
        <f>E12+F12</f>
        <v/>
      </c>
      <c r="H12" s="8" t="n"/>
      <c r="I12" s="9">
        <f>IF(H12="","",G12*H12)</f>
        <v/>
      </c>
      <c r="J12" s="10" t="n"/>
      <c r="K12" s="10" t="n"/>
    </row>
    <row r="13">
      <c r="A13" s="3" t="n">
        <v>12</v>
      </c>
      <c r="B13" s="3" t="inlineStr">
        <is>
          <t>Sensorik</t>
        </is>
      </c>
      <c r="C13" s="3" t="inlineStr">
        <is>
          <t>M12-Objektiv 2,8 mm (ZH3019-14)</t>
        </is>
      </c>
      <c r="D13" s="3" t="inlineStr">
        <is>
          <t>F2.2, 1/2.7"</t>
        </is>
      </c>
      <c r="E13" s="7" t="n">
        <v>2</v>
      </c>
      <c r="F13" s="7" t="n">
        <v>0</v>
      </c>
      <c r="G13" s="3">
        <f>E13+F13</f>
        <v/>
      </c>
      <c r="H13" s="8" t="n"/>
      <c r="I13" s="9">
        <f>IF(H13="","",G13*H13)</f>
        <v/>
      </c>
      <c r="J13" s="10" t="n"/>
      <c r="K13" s="10" t="n"/>
    </row>
    <row r="14">
      <c r="A14" s="3" t="n">
        <v>13</v>
      </c>
      <c r="B14" s="3" t="inlineStr">
        <is>
          <t>Sensorik</t>
        </is>
      </c>
      <c r="C14" s="3" t="inlineStr">
        <is>
          <t>CSI-Kabel Pi 5 (22-pol auf 15-pol), ca. 200 mm</t>
        </is>
      </c>
      <c r="D14" s="3" t="inlineStr">
        <is>
          <t>Kamera -&gt; Pi 5 CAM0/CAM1</t>
        </is>
      </c>
      <c r="E14" s="7" t="n">
        <v>2</v>
      </c>
      <c r="F14" s="7" t="n">
        <v>0</v>
      </c>
      <c r="G14" s="3">
        <f>E14+F14</f>
        <v/>
      </c>
      <c r="H14" s="8" t="n"/>
      <c r="I14" s="9">
        <f>IF(H14="","",G14*H14)</f>
        <v/>
      </c>
      <c r="J14" s="10" t="n"/>
      <c r="K14" s="10" t="n"/>
    </row>
    <row r="15">
      <c r="A15" s="3" t="n">
        <v>14</v>
      </c>
      <c r="B15" s="3" t="inlineStr">
        <is>
          <t>Sensorik</t>
        </is>
      </c>
      <c r="C15" s="3" t="inlineStr">
        <is>
          <t>Trigger-Verteilerplatine</t>
        </is>
      </c>
      <c r="D15" s="3" t="inlineStr">
        <is>
          <t>Eigenbau, 20x22 mm</t>
        </is>
      </c>
      <c r="E15" s="7" t="n">
        <v>1</v>
      </c>
      <c r="F15" s="7" t="n">
        <v>0</v>
      </c>
      <c r="G15" s="3">
        <f>E15+F15</f>
        <v/>
      </c>
      <c r="H15" s="8" t="n"/>
      <c r="I15" s="9">
        <f>IF(H15="","",G15*H15)</f>
        <v/>
      </c>
      <c r="J15" s="10" t="n"/>
      <c r="K15" s="10" t="n"/>
    </row>
    <row r="16">
      <c r="A16" s="3" t="n">
        <v>15</v>
      </c>
      <c r="B16" s="3" t="inlineStr">
        <is>
          <t>Sensorik</t>
        </is>
      </c>
      <c r="C16" s="3" t="inlineStr">
        <is>
          <t>Mikroschalter D2F (oder ähnlich)</t>
        </is>
      </c>
      <c r="D16" s="3" t="inlineStr">
        <is>
          <t>Fußkontakt; Maße im Bein-Makro (sw_*) anpassen</t>
        </is>
      </c>
      <c r="E16" s="7" t="n">
        <v>6</v>
      </c>
      <c r="F16" s="7" t="n">
        <v>2</v>
      </c>
      <c r="G16" s="3">
        <f>E16+F16</f>
        <v/>
      </c>
      <c r="H16" s="8" t="n"/>
      <c r="I16" s="9">
        <f>IF(H16="","",G16*H16)</f>
        <v/>
      </c>
      <c r="J16" s="10" t="n"/>
      <c r="K16" s="10" t="n"/>
    </row>
    <row r="17">
      <c r="A17" s="3" t="n">
        <v>16</v>
      </c>
      <c r="B17" s="3" t="inlineStr">
        <is>
          <t>Energie</t>
        </is>
      </c>
      <c r="C17" s="3" t="inlineStr">
        <is>
          <t>LiPo ZEEE 3S 9000 mAh</t>
        </is>
      </c>
      <c r="D17" s="3" t="inlineStr">
        <is>
          <t>ca. 170x50x32 mm, Deans (Buchse am Akku)</t>
        </is>
      </c>
      <c r="E17" s="7" t="n">
        <v>1</v>
      </c>
      <c r="F17" s="7" t="n">
        <v>0</v>
      </c>
      <c r="G17" s="3">
        <f>E17+F17</f>
        <v/>
      </c>
      <c r="H17" s="8" t="n"/>
      <c r="I17" s="9">
        <f>IF(H17="","",G17*H17)</f>
        <v/>
      </c>
      <c r="J17" s="10" t="n"/>
      <c r="K17" s="10" t="n"/>
    </row>
    <row r="18">
      <c r="A18" s="3" t="n">
        <v>17</v>
      </c>
      <c r="B18" s="3" t="inlineStr">
        <is>
          <t>Energie</t>
        </is>
      </c>
      <c r="C18" s="3" t="inlineStr">
        <is>
          <t>BMS 3S (Daly 12 V 60 A oder 30–40 A)</t>
        </is>
      </c>
      <c r="D18" s="3" t="inlineStr">
        <is>
          <t>kleineres BMS reicht (Mittel ~10 A, Spitzen 20–30 A)</t>
        </is>
      </c>
      <c r="E18" s="7" t="n">
        <v>1</v>
      </c>
      <c r="F18" s="7" t="n">
        <v>0</v>
      </c>
      <c r="G18" s="3">
        <f>E18+F18</f>
        <v/>
      </c>
      <c r="H18" s="8" t="n"/>
      <c r="I18" s="9">
        <f>IF(H18="","",G18*H18)</f>
        <v/>
      </c>
      <c r="J18" s="10" t="n"/>
      <c r="K18" s="10" t="n"/>
    </row>
    <row r="19">
      <c r="A19" s="3" t="n">
        <v>18</v>
      </c>
      <c r="B19" s="3" t="inlineStr">
        <is>
          <t>Energie</t>
        </is>
      </c>
      <c r="C19" s="3" t="inlineStr">
        <is>
          <t>Flachsicherung 30–40 A + Halter</t>
        </is>
      </c>
      <c r="D19" s="3" t="inlineStr">
        <is>
          <t>direkt am Akku</t>
        </is>
      </c>
      <c r="E19" s="7" t="n">
        <v>1</v>
      </c>
      <c r="F19" s="7" t="n">
        <v>1</v>
      </c>
      <c r="G19" s="3">
        <f>E19+F19</f>
        <v/>
      </c>
      <c r="H19" s="8" t="n"/>
      <c r="I19" s="9">
        <f>IF(H19="","",G19*H19)</f>
        <v/>
      </c>
      <c r="J19" s="10" t="n"/>
      <c r="K19" s="10" t="n"/>
    </row>
    <row r="20">
      <c r="A20" s="3" t="n">
        <v>19</v>
      </c>
      <c r="B20" s="3" t="inlineStr">
        <is>
          <t>Energie</t>
        </is>
      </c>
      <c r="C20" s="3" t="inlineStr">
        <is>
          <t>Relaismodul 8-Kanal</t>
        </is>
      </c>
      <c r="D20" s="3" t="inlineStr">
        <is>
          <t>oder kleineres 2–4-Kanal-Modul</t>
        </is>
      </c>
      <c r="E20" s="7" t="n">
        <v>1</v>
      </c>
      <c r="F20" s="7" t="n">
        <v>0</v>
      </c>
      <c r="G20" s="3">
        <f>E20+F20</f>
        <v/>
      </c>
      <c r="H20" s="8" t="n"/>
      <c r="I20" s="9">
        <f>IF(H20="","",G20*H20)</f>
        <v/>
      </c>
      <c r="J20" s="10" t="n"/>
      <c r="K20" s="10" t="n"/>
    </row>
    <row r="21">
      <c r="A21" s="3" t="n">
        <v>20</v>
      </c>
      <c r="B21" s="3" t="inlineStr">
        <is>
          <t>Energie</t>
        </is>
      </c>
      <c r="C21" s="3" t="inlineStr">
        <is>
          <t>Deans-T-Stecker (Stifte, Robot-Seite)</t>
        </is>
      </c>
      <c r="D21" s="3" t="inlineStr">
        <is>
          <t>Gegenstück zur Deans-Buchse am Akku; sitzt im Steckerhalter (untere Platte hinten)</t>
        </is>
      </c>
      <c r="E21" s="7" t="n">
        <v>1</v>
      </c>
      <c r="F21" s="7" t="n">
        <v>1</v>
      </c>
      <c r="G21" s="3">
        <f>E21+F21</f>
        <v/>
      </c>
      <c r="H21" s="8" t="n"/>
      <c r="I21" s="9">
        <f>IF(H21="","",G21*H21)</f>
        <v/>
      </c>
      <c r="J21" s="10" t="n"/>
      <c r="K21" s="10" t="n"/>
    </row>
    <row r="22">
      <c r="A22" s="3" t="n">
        <v>21</v>
      </c>
      <c r="B22" s="3" t="inlineStr">
        <is>
          <t>Energie</t>
        </is>
      </c>
      <c r="C22" s="3" t="inlineStr">
        <is>
          <t>Litze AWG20 rot/schwarz (m)</t>
        </is>
      </c>
      <c r="D22" s="3" t="inlineStr">
        <is>
          <t>Stromschienen je Seite</t>
        </is>
      </c>
      <c r="E22" s="7" t="n">
        <v>4</v>
      </c>
      <c r="F22" s="7" t="n">
        <v>1</v>
      </c>
      <c r="G22" s="3">
        <f>E22+F22</f>
        <v/>
      </c>
      <c r="H22" s="8" t="n"/>
      <c r="I22" s="9">
        <f>IF(H22="","",G22*H22)</f>
        <v/>
      </c>
      <c r="J22" s="10" t="n"/>
      <c r="K22" s="10" t="n"/>
    </row>
    <row r="23">
      <c r="A23" s="3" t="n">
        <v>22</v>
      </c>
      <c r="B23" s="3" t="inlineStr">
        <is>
          <t>Verdrahtung</t>
        </is>
      </c>
      <c r="C23" s="3" t="inlineStr">
        <is>
          <t>Verteilerplatine je Bein (Lochraster, XH2.54)</t>
        </is>
      </c>
      <c r="D23" s="3" t="inlineStr">
        <is>
          <t>Eigenbau</t>
        </is>
      </c>
      <c r="E23" s="7" t="n">
        <v>6</v>
      </c>
      <c r="F23" s="7" t="n">
        <v>1</v>
      </c>
      <c r="G23" s="3">
        <f>E23+F23</f>
        <v/>
      </c>
      <c r="H23" s="8" t="n"/>
      <c r="I23" s="9">
        <f>IF(H23="","",G23*H23)</f>
        <v/>
      </c>
      <c r="J23" s="10" t="n"/>
      <c r="K23" s="10" t="n"/>
    </row>
    <row r="24">
      <c r="A24" s="3" t="n">
        <v>23</v>
      </c>
      <c r="B24" s="3" t="inlineStr">
        <is>
          <t>Verdrahtung</t>
        </is>
      </c>
      <c r="C24" s="3" t="inlineStr">
        <is>
          <t>JST-XH 2,54 Steckverbinder-Sortiment</t>
        </is>
      </c>
      <c r="D24" s="3" t="n"/>
      <c r="E24" s="7" t="n">
        <v>1</v>
      </c>
      <c r="F24" s="7" t="n">
        <v>0</v>
      </c>
      <c r="G24" s="3">
        <f>E24+F24</f>
        <v/>
      </c>
      <c r="H24" s="8" t="n"/>
      <c r="I24" s="9">
        <f>IF(H24="","",G24*H24)</f>
        <v/>
      </c>
      <c r="J24" s="10" t="n"/>
      <c r="K24" s="10" t="n"/>
    </row>
    <row r="25">
      <c r="A25" s="3" t="n">
        <v>24</v>
      </c>
      <c r="B25" s="3" t="inlineStr">
        <is>
          <t>Verdrahtung</t>
        </is>
      </c>
      <c r="C25" s="3" t="inlineStr">
        <is>
          <t>Diode 1N4148</t>
        </is>
      </c>
      <c r="D25" s="3" t="inlineStr">
        <is>
          <t>Abschaltschaltung Pi</t>
        </is>
      </c>
      <c r="E25" s="7" t="n">
        <v>2</v>
      </c>
      <c r="F25" s="7" t="n">
        <v>2</v>
      </c>
      <c r="G25" s="3">
        <f>E25+F25</f>
        <v/>
      </c>
      <c r="H25" s="8" t="n"/>
      <c r="I25" s="9">
        <f>IF(H25="","",G25*H25)</f>
        <v/>
      </c>
      <c r="J25" s="10" t="n"/>
      <c r="K25" s="10" t="n"/>
    </row>
    <row r="26">
      <c r="A26" s="3" t="n">
        <v>25</v>
      </c>
      <c r="B26" s="3" t="inlineStr">
        <is>
          <t>Verdrahtung</t>
        </is>
      </c>
      <c r="C26" s="3" t="inlineStr">
        <is>
          <t>Dupont-Kabel (Trigger/Strobe)</t>
        </is>
      </c>
      <c r="D26" s="3" t="inlineStr">
        <is>
          <t>Kameras &lt;-&gt; Trigger-Platine</t>
        </is>
      </c>
      <c r="E26" s="7" t="n">
        <v>4</v>
      </c>
      <c r="F26" s="7" t="n">
        <v>2</v>
      </c>
      <c r="G26" s="3">
        <f>E26+F26</f>
        <v/>
      </c>
      <c r="H26" s="8" t="n"/>
      <c r="I26" s="9">
        <f>IF(H26="","",G26*H26)</f>
        <v/>
      </c>
      <c r="J26" s="10" t="n"/>
      <c r="K26" s="10" t="n"/>
    </row>
    <row r="27">
      <c r="A27" s="3" t="n">
        <v>26</v>
      </c>
      <c r="B27" s="3" t="inlineStr">
        <is>
          <t>Verbindung</t>
        </is>
      </c>
      <c r="C27" s="3" t="inlineStr">
        <is>
          <t>Zylinderschraube M3x8 (ISO 7380/4762)</t>
        </is>
      </c>
      <c r="D27" s="3" t="inlineStr">
        <is>
          <t>Gabelwange oben -&gt; Horn, 4 je Gelenk; NICHT länger (Servogehäuse)</t>
        </is>
      </c>
      <c r="E27" s="7" t="n">
        <v>72</v>
      </c>
      <c r="F27" s="7" t="n">
        <v>8</v>
      </c>
      <c r="G27" s="3">
        <f>E27+F27</f>
        <v/>
      </c>
      <c r="H27" s="8" t="n"/>
      <c r="I27" s="9">
        <f>IF(H27="","",G27*H27)</f>
        <v/>
      </c>
      <c r="J27" s="10" t="n"/>
      <c r="K27" s="10" t="n"/>
    </row>
    <row r="28">
      <c r="A28" s="3" t="n">
        <v>27</v>
      </c>
      <c r="B28" s="3" t="inlineStr">
        <is>
          <t>Verbindung</t>
        </is>
      </c>
      <c r="C28" s="3" t="inlineStr">
        <is>
          <t>Zylinderschraube M3x6</t>
        </is>
      </c>
      <c r="D28" s="3" t="inlineStr">
        <is>
          <t>Gabelwange unten -&gt; Rückscheibe, 4 je Gelenk; nicht länger</t>
        </is>
      </c>
      <c r="E28" s="7" t="n">
        <v>72</v>
      </c>
      <c r="F28" s="7" t="n">
        <v>8</v>
      </c>
      <c r="G28" s="3">
        <f>E28+F28</f>
        <v/>
      </c>
      <c r="H28" s="8" t="n"/>
      <c r="I28" s="9">
        <f>IF(H28="","",G28*H28)</f>
        <v/>
      </c>
      <c r="J28" s="10" t="n"/>
      <c r="K28" s="10" t="n"/>
    </row>
    <row r="29">
      <c r="A29" s="3" t="n">
        <v>28</v>
      </c>
      <c r="B29" s="3" t="inlineStr">
        <is>
          <t>Verbindung</t>
        </is>
      </c>
      <c r="C29" s="3" t="inlineStr">
        <is>
          <t>Blechschraube 2x5 (beiliegend bei ST3215)</t>
        </is>
      </c>
      <c r="D29" s="3" t="inlineStr">
        <is>
          <t>Coxa 4 je Servo (Platten), Bein-Servos 2 je Servo</t>
        </is>
      </c>
      <c r="E29" s="7" t="n">
        <v>48</v>
      </c>
      <c r="F29" s="7" t="n">
        <v>0</v>
      </c>
      <c r="G29" s="3">
        <f>E29+F29</f>
        <v/>
      </c>
      <c r="H29" s="8" t="n"/>
      <c r="I29" s="9">
        <f>IF(H29="","",G29*H29)</f>
        <v/>
      </c>
      <c r="J29" s="10" t="n"/>
      <c r="K29" s="10" t="n"/>
    </row>
    <row r="30">
      <c r="A30" s="3" t="n">
        <v>29</v>
      </c>
      <c r="B30" s="3" t="inlineStr">
        <is>
          <t>Verbindung</t>
        </is>
      </c>
      <c r="C30" s="3" t="inlineStr">
        <is>
          <t>Zylinderschraube M3x50</t>
        </is>
      </c>
      <c r="D30" s="3" t="inlineStr">
        <is>
          <t>6 Säulen unter den Panzersäulen, von unten in den Gewindeeinsatz</t>
        </is>
      </c>
      <c r="E30" s="7" t="n">
        <v>6</v>
      </c>
      <c r="F30" s="7" t="n">
        <v>1</v>
      </c>
      <c r="G30" s="3">
        <f>E30+F30</f>
        <v/>
      </c>
      <c r="H30" s="8" t="n"/>
      <c r="I30" s="9">
        <f>IF(H30="","",G30*H30)</f>
        <v/>
      </c>
      <c r="J30" s="10" t="n"/>
      <c r="K30" s="10" t="n"/>
    </row>
    <row r="31">
      <c r="A31" s="3" t="n">
        <v>30</v>
      </c>
      <c r="B31" s="3" t="inlineStr">
        <is>
          <t>Verbindung</t>
        </is>
      </c>
      <c r="C31" s="3" t="inlineStr">
        <is>
          <t>Gewindeeinsatz M3 (Einschmelzmutter, 5,7 lang, Ø4,6)</t>
        </is>
      </c>
      <c r="D31" s="3" t="inlineStr">
        <is>
          <t>unten in den 6 Panzersäulen</t>
        </is>
      </c>
      <c r="E31" s="7" t="n">
        <v>6</v>
      </c>
      <c r="F31" s="7" t="n">
        <v>2</v>
      </c>
      <c r="G31" s="3">
        <f>E31+F31</f>
        <v/>
      </c>
      <c r="H31" s="8" t="n"/>
      <c r="I31" s="9">
        <f>IF(H31="","",G31*H31)</f>
        <v/>
      </c>
      <c r="J31" s="10" t="n"/>
      <c r="K31" s="10" t="n"/>
    </row>
    <row r="32">
      <c r="A32" s="3" t="n">
        <v>31</v>
      </c>
      <c r="B32" s="3" t="inlineStr">
        <is>
          <t>Verbindung</t>
        </is>
      </c>
      <c r="C32" s="3" t="inlineStr">
        <is>
          <t>Zylinderschraube M3x45</t>
        </is>
      </c>
      <c r="D32" s="3" t="inlineStr">
        <is>
          <t>2 Säulen bei x = -40 (mit Mutter, kein Panzerpfosten)</t>
        </is>
      </c>
      <c r="E32" s="7" t="n">
        <v>2</v>
      </c>
      <c r="F32" s="7" t="n">
        <v>1</v>
      </c>
      <c r="G32" s="3">
        <f>E32+F32</f>
        <v/>
      </c>
      <c r="H32" s="8" t="n"/>
      <c r="I32" s="9">
        <f>IF(H32="","",G32*H32)</f>
        <v/>
      </c>
      <c r="J32" s="10" t="n"/>
      <c r="K32" s="10" t="n"/>
    </row>
    <row r="33">
      <c r="A33" s="3" t="n">
        <v>32</v>
      </c>
      <c r="B33" s="3" t="inlineStr">
        <is>
          <t>Verbindung</t>
        </is>
      </c>
      <c r="C33" s="3" t="inlineStr">
        <is>
          <t>Zylinderschraube M3x12 + Mutter</t>
        </is>
      </c>
      <c r="D33" s="3" t="inlineStr">
        <is>
          <t>Teilungsspant Panzer</t>
        </is>
      </c>
      <c r="E33" s="7" t="n">
        <v>3</v>
      </c>
      <c r="F33" s="7" t="n">
        <v>1</v>
      </c>
      <c r="G33" s="3">
        <f>E33+F33</f>
        <v/>
      </c>
      <c r="H33" s="8" t="n"/>
      <c r="I33" s="9">
        <f>IF(H33="","",G33*H33)</f>
        <v/>
      </c>
      <c r="J33" s="10" t="n"/>
      <c r="K33" s="10" t="n"/>
    </row>
    <row r="34">
      <c r="A34" s="3" t="n">
        <v>33</v>
      </c>
      <c r="B34" s="3" t="inlineStr">
        <is>
          <t>Verbindung</t>
        </is>
      </c>
      <c r="C34" s="3" t="inlineStr">
        <is>
          <t>Zylinderschraube M3x10</t>
        </is>
      </c>
      <c r="D34" s="3" t="inlineStr">
        <is>
          <t>Plattenstoß, 4 je Platte</t>
        </is>
      </c>
      <c r="E34" s="7" t="n">
        <v>8</v>
      </c>
      <c r="F34" s="7" t="n">
        <v>2</v>
      </c>
      <c r="G34" s="3">
        <f>E34+F34</f>
        <v/>
      </c>
      <c r="H34" s="8" t="n"/>
      <c r="I34" s="9">
        <f>IF(H34="","",G34*H34)</f>
        <v/>
      </c>
      <c r="J34" s="10" t="n"/>
      <c r="K34" s="10" t="n"/>
    </row>
    <row r="35">
      <c r="A35" s="3" t="n">
        <v>34</v>
      </c>
      <c r="B35" s="3" t="inlineStr">
        <is>
          <t>Verbindung</t>
        </is>
      </c>
      <c r="C35" s="3" t="inlineStr">
        <is>
          <t>Sicherungsmutter M3 (Nylonring)</t>
        </is>
      </c>
      <c r="D35" s="3" t="inlineStr">
        <is>
          <t>Säulen + Stoß + Relais</t>
        </is>
      </c>
      <c r="E35" s="7" t="n">
        <v>20</v>
      </c>
      <c r="F35" s="7" t="n">
        <v>4</v>
      </c>
      <c r="G35" s="3">
        <f>E35+F35</f>
        <v/>
      </c>
      <c r="H35" s="8" t="n"/>
      <c r="I35" s="9">
        <f>IF(H35="","",G35*H35)</f>
        <v/>
      </c>
      <c r="J35" s="10" t="n"/>
      <c r="K35" s="10" t="n"/>
    </row>
    <row r="36">
      <c r="A36" s="3" t="n">
        <v>35</v>
      </c>
      <c r="B36" s="3" t="inlineStr">
        <is>
          <t>Verbindung</t>
        </is>
      </c>
      <c r="C36" s="3" t="inlineStr">
        <is>
          <t>Zylinderschraube M3x14</t>
        </is>
      </c>
      <c r="D36" s="3" t="inlineStr">
        <is>
          <t>Relais auf 5-mm-Bolzen (alternativ M2x14)</t>
        </is>
      </c>
      <c r="E36" s="7" t="n">
        <v>4</v>
      </c>
      <c r="F36" s="7" t="n">
        <v>0</v>
      </c>
      <c r="G36" s="3">
        <f>E36+F36</f>
        <v/>
      </c>
      <c r="H36" s="8" t="n"/>
      <c r="I36" s="9">
        <f>IF(H36="","",G36*H36)</f>
        <v/>
      </c>
      <c r="J36" s="10" t="n"/>
      <c r="K36" s="10" t="n"/>
    </row>
    <row r="37">
      <c r="A37" s="3" t="n">
        <v>36</v>
      </c>
      <c r="B37" s="3" t="inlineStr">
        <is>
          <t>Verbindung</t>
        </is>
      </c>
      <c r="C37" s="3" t="inlineStr">
        <is>
          <t>Zylinderschraube M3x10 + Mutter</t>
        </is>
      </c>
      <c r="D37" s="3" t="inlineStr">
        <is>
          <t>DC-DC-Laschen (2) + Modulträger MCP/MUX (4) + Steckerhalter Akku (2)</t>
        </is>
      </c>
      <c r="E37" s="7" t="n">
        <v>8</v>
      </c>
      <c r="F37" s="7" t="n">
        <v>2</v>
      </c>
      <c r="G37" s="3">
        <f>E37+F37</f>
        <v/>
      </c>
      <c r="H37" s="8" t="n"/>
      <c r="I37" s="9">
        <f>IF(H37="","",G37*H37)</f>
        <v/>
      </c>
      <c r="J37" s="10" t="n"/>
      <c r="K37" s="10" t="n"/>
    </row>
    <row r="38">
      <c r="A38" s="3" t="n">
        <v>37</v>
      </c>
      <c r="B38" s="3" t="inlineStr">
        <is>
          <t>Verbindung</t>
        </is>
      </c>
      <c r="C38" s="3" t="inlineStr">
        <is>
          <t>Zylinderschraube M2x6</t>
        </is>
      </c>
      <c r="D38" s="3" t="inlineStr">
        <is>
          <t>Kamera-Platinen, direkt ins 1,7-mm-Kernloch</t>
        </is>
      </c>
      <c r="E38" s="7" t="n">
        <v>8</v>
      </c>
      <c r="F38" s="7" t="n">
        <v>2</v>
      </c>
      <c r="G38" s="3">
        <f>E38+F38</f>
        <v/>
      </c>
      <c r="H38" s="8" t="n"/>
      <c r="I38" s="9">
        <f>IF(H38="","",G38*H38)</f>
        <v/>
      </c>
      <c r="J38" s="10" t="n"/>
      <c r="K38" s="10" t="n"/>
    </row>
    <row r="39">
      <c r="A39" s="3" t="n">
        <v>38</v>
      </c>
      <c r="B39" s="3" t="inlineStr">
        <is>
          <t>Verbindung</t>
        </is>
      </c>
      <c r="C39" s="3" t="inlineStr">
        <is>
          <t>Zylinderschraube M2x25 + Mutter</t>
        </is>
      </c>
      <c r="D39" s="3" t="inlineStr">
        <is>
          <t>Kamerahalter-Laschen durch Sockel + Platte</t>
        </is>
      </c>
      <c r="E39" s="7" t="n">
        <v>2</v>
      </c>
      <c r="F39" s="7" t="n">
        <v>1</v>
      </c>
      <c r="G39" s="3">
        <f>E39+F39</f>
        <v/>
      </c>
      <c r="H39" s="8" t="n"/>
      <c r="I39" s="9">
        <f>IF(H39="","",G39*H39)</f>
        <v/>
      </c>
      <c r="J39" s="10" t="n"/>
      <c r="K39" s="10" t="n"/>
    </row>
    <row r="40">
      <c r="A40" s="3" t="n">
        <v>39</v>
      </c>
      <c r="B40" s="3" t="inlineStr">
        <is>
          <t>Verbindung</t>
        </is>
      </c>
      <c r="C40" s="3" t="inlineStr">
        <is>
          <t>Distanzbolzen M2,5x6 (Innen/Innen)</t>
        </is>
      </c>
      <c r="D40" s="3" t="inlineStr">
        <is>
          <t>Pi 5 (M2 geht mit Scheiben)</t>
        </is>
      </c>
      <c r="E40" s="7" t="n">
        <v>4</v>
      </c>
      <c r="F40" s="7" t="n">
        <v>0</v>
      </c>
      <c r="G40" s="3">
        <f>E40+F40</f>
        <v/>
      </c>
      <c r="H40" s="8" t="n"/>
      <c r="I40" s="9">
        <f>IF(H40="","",G40*H40)</f>
        <v/>
      </c>
      <c r="J40" s="10" t="n"/>
      <c r="K40" s="10" t="n"/>
    </row>
    <row r="41">
      <c r="A41" s="3" t="n">
        <v>40</v>
      </c>
      <c r="B41" s="3" t="inlineStr">
        <is>
          <t>Verbindung</t>
        </is>
      </c>
      <c r="C41" s="3" t="inlineStr">
        <is>
          <t>Distanzbolzen M2,5x12 (Innen/Innen)</t>
        </is>
      </c>
      <c r="D41" s="3" t="inlineStr">
        <is>
          <t>Treiberboard (Stiftleiste unten 9,4 mm)</t>
        </is>
      </c>
      <c r="E41" s="7" t="n">
        <v>4</v>
      </c>
      <c r="F41" s="7" t="n">
        <v>0</v>
      </c>
      <c r="G41" s="3">
        <f>E41+F41</f>
        <v/>
      </c>
      <c r="H41" s="8" t="n"/>
      <c r="I41" s="9">
        <f>IF(H41="","",G41*H41)</f>
        <v/>
      </c>
      <c r="J41" s="10" t="n"/>
      <c r="K41" s="10" t="n"/>
    </row>
    <row r="42">
      <c r="A42" s="3" t="n">
        <v>41</v>
      </c>
      <c r="B42" s="3" t="inlineStr">
        <is>
          <t>Verbindung</t>
        </is>
      </c>
      <c r="C42" s="3" t="inlineStr">
        <is>
          <t>Zylinderschraube M2,5x5</t>
        </is>
      </c>
      <c r="D42" s="3" t="inlineStr">
        <is>
          <t>für die Distanzbolzen, je 2</t>
        </is>
      </c>
      <c r="E42" s="7" t="n">
        <v>16</v>
      </c>
      <c r="F42" s="7" t="n">
        <v>2</v>
      </c>
      <c r="G42" s="3">
        <f>E42+F42</f>
        <v/>
      </c>
      <c r="H42" s="8" t="n"/>
      <c r="I42" s="9">
        <f>IF(H42="","",G42*H42)</f>
        <v/>
      </c>
      <c r="J42" s="10" t="n"/>
      <c r="K42" s="10" t="n"/>
    </row>
    <row r="43">
      <c r="A43" s="3" t="n">
        <v>42</v>
      </c>
      <c r="B43" s="3" t="inlineStr">
        <is>
          <t>Verbindung</t>
        </is>
      </c>
      <c r="C43" s="3" t="inlineStr">
        <is>
          <t>Kunststoff-Unterlegscheiben M2/M2,5/M3 (Sortiment)</t>
        </is>
      </c>
      <c r="D43" s="3" t="n"/>
      <c r="E43" s="7" t="n">
        <v>1</v>
      </c>
      <c r="F43" s="7" t="n">
        <v>0</v>
      </c>
      <c r="G43" s="3">
        <f>E43+F43</f>
        <v/>
      </c>
      <c r="H43" s="8" t="n"/>
      <c r="I43" s="9">
        <f>IF(H43="","",G43*H43)</f>
        <v/>
      </c>
      <c r="J43" s="10" t="n"/>
      <c r="K43" s="10" t="n"/>
    </row>
    <row r="44">
      <c r="A44" s="3" t="n">
        <v>43</v>
      </c>
      <c r="B44" s="3" t="inlineStr">
        <is>
          <t>Verbindung</t>
        </is>
      </c>
      <c r="C44" s="3" t="inlineStr">
        <is>
          <t>Federstahldraht 1,2 mm (m)</t>
        </is>
      </c>
      <c r="D44" s="3" t="inlineStr">
        <is>
          <t>Haltestifte Mikroschalter, bündig abknipsen</t>
        </is>
      </c>
      <c r="E44" s="7" t="n">
        <v>1</v>
      </c>
      <c r="F44" s="7" t="n">
        <v>0</v>
      </c>
      <c r="G44" s="3">
        <f>E44+F44</f>
        <v/>
      </c>
      <c r="H44" s="8" t="n"/>
      <c r="I44" s="9">
        <f>IF(H44="","",G44*H44)</f>
        <v/>
      </c>
      <c r="J44" s="10" t="n"/>
      <c r="K44" s="10" t="n"/>
    </row>
    <row r="45">
      <c r="A45" s="3" t="n">
        <v>44</v>
      </c>
      <c r="B45" s="3" t="inlineStr">
        <is>
          <t>Kleinteile</t>
        </is>
      </c>
      <c r="C45" s="3" t="inlineStr">
        <is>
          <t>Kabelbinder 2,5 mm</t>
        </is>
      </c>
      <c r="D45" s="3" t="inlineStr">
        <is>
          <t>Kabelösen Femur/Tibia</t>
        </is>
      </c>
      <c r="E45" s="7" t="n">
        <v>50</v>
      </c>
      <c r="F45" s="7" t="n">
        <v>0</v>
      </c>
      <c r="G45" s="3">
        <f>E45+F45</f>
        <v/>
      </c>
      <c r="H45" s="8" t="n"/>
      <c r="I45" s="9">
        <f>IF(H45="","",G45*H45)</f>
        <v/>
      </c>
      <c r="J45" s="10" t="n"/>
      <c r="K45" s="10" t="n"/>
    </row>
    <row r="46">
      <c r="A46" s="3" t="n">
        <v>45</v>
      </c>
      <c r="B46" s="3" t="inlineStr">
        <is>
          <t>Kleinteile</t>
        </is>
      </c>
      <c r="C46" s="3" t="inlineStr">
        <is>
          <t>Klettband 20 mm (m)</t>
        </is>
      </c>
      <c r="D46" s="3" t="inlineStr">
        <is>
          <t>Batterie 2 Gurte, BMS 1 Gurt</t>
        </is>
      </c>
      <c r="E46" s="7" t="n">
        <v>1</v>
      </c>
      <c r="F46" s="7" t="n">
        <v>0</v>
      </c>
      <c r="G46" s="3">
        <f>E46+F46</f>
        <v/>
      </c>
      <c r="H46" s="8" t="n"/>
      <c r="I46" s="9">
        <f>IF(H46="","",G46*H46)</f>
        <v/>
      </c>
      <c r="J46" s="10" t="n"/>
      <c r="K46" s="10" t="n"/>
    </row>
    <row r="47">
      <c r="A47" s="3" t="n">
        <v>46</v>
      </c>
      <c r="B47" s="3" t="inlineStr">
        <is>
          <t>Kleinteile</t>
        </is>
      </c>
      <c r="C47" s="3" t="inlineStr">
        <is>
          <t>Moosgummi EPDM 5 mm, selbstklebend (Streifen, ca. 20 mm breit)</t>
        </is>
      </c>
      <c r="D47" s="3" t="inlineStr">
        <is>
          <t>Akku: Streifen unter die obere Platte (Spalt 4,1 mm) gegen Klappern; 1 Stück 20x20 mit Ø9-Loch unter den Kopf des Akku-Riegels</t>
        </is>
      </c>
      <c r="E47" s="7" t="n">
        <v>1</v>
      </c>
      <c r="F47" s="7" t="n">
        <v>0</v>
      </c>
      <c r="G47" s="3">
        <f>E47+F47</f>
        <v/>
      </c>
      <c r="H47" s="8" t="n"/>
      <c r="I47" s="9">
        <f>IF(H47="","",G47*H47)</f>
        <v/>
      </c>
      <c r="J47" s="10" t="n"/>
      <c r="K47" s="10" t="n"/>
    </row>
    <row r="48">
      <c r="A48" s="3" t="n">
        <v>47</v>
      </c>
      <c r="B48" s="3" t="inlineStr">
        <is>
          <t>Kleinteile</t>
        </is>
      </c>
      <c r="C48" s="3" t="inlineStr">
        <is>
          <t>Doppelseitiges Klebeband</t>
        </is>
      </c>
      <c r="D48" s="3" t="inlineStr">
        <is>
          <t>Trigger-Platine</t>
        </is>
      </c>
      <c r="E48" s="7" t="n">
        <v>1</v>
      </c>
      <c r="F48" s="7" t="n">
        <v>0</v>
      </c>
      <c r="G48" s="3">
        <f>E48+F48</f>
        <v/>
      </c>
      <c r="H48" s="8" t="n"/>
      <c r="I48" s="9">
        <f>IF(H48="","",G48*H48)</f>
        <v/>
      </c>
      <c r="J48" s="10" t="n"/>
      <c r="K48" s="10" t="n"/>
    </row>
    <row r="49">
      <c r="A49" s="3" t="n">
        <v>48</v>
      </c>
      <c r="B49" s="3" t="inlineStr">
        <is>
          <t>Kleinteile</t>
        </is>
      </c>
      <c r="C49" s="3" t="inlineStr">
        <is>
          <t>2K-Epoxid oder Sekundenkleber + Primer</t>
        </is>
      </c>
      <c r="D49" s="3" t="inlineStr">
        <is>
          <t>Zierleisten</t>
        </is>
      </c>
      <c r="E49" s="7" t="n">
        <v>1</v>
      </c>
      <c r="F49" s="7" t="n">
        <v>0</v>
      </c>
      <c r="G49" s="3">
        <f>E49+F49</f>
        <v/>
      </c>
      <c r="H49" s="8" t="n"/>
      <c r="I49" s="9">
        <f>IF(H49="","",G49*H49)</f>
        <v/>
      </c>
      <c r="J49" s="10" t="n"/>
      <c r="K49" s="10" t="n"/>
    </row>
    <row r="50">
      <c r="A50" s="3" t="n">
        <v>49</v>
      </c>
      <c r="B50" s="3" t="inlineStr">
        <is>
          <t>Filament</t>
        </is>
      </c>
      <c r="C50" s="3" t="inlineStr">
        <is>
          <t>PETG schwarz (kg)</t>
        </is>
      </c>
      <c r="D50" s="3" t="inlineStr">
        <is>
          <t>siehe Blatt Druckteile; inkl. Probedrucke</t>
        </is>
      </c>
      <c r="E50" s="7" t="n">
        <v>2</v>
      </c>
      <c r="F50" s="7" t="n">
        <v>0</v>
      </c>
      <c r="G50" s="3">
        <f>E50+F50</f>
        <v/>
      </c>
      <c r="H50" s="8" t="n"/>
      <c r="I50" s="9">
        <f>IF(H50="","",G50*H50)</f>
        <v/>
      </c>
      <c r="J50" s="10" t="n"/>
      <c r="K50" s="10" t="n"/>
    </row>
    <row r="51">
      <c r="A51" s="3" t="n">
        <v>50</v>
      </c>
      <c r="B51" s="3" t="inlineStr">
        <is>
          <t>Filament</t>
        </is>
      </c>
      <c r="C51" s="3" t="inlineStr">
        <is>
          <t>TPU 95A (kg)</t>
        </is>
      </c>
      <c r="D51" s="3" t="inlineStr">
        <is>
          <t>Füße</t>
        </is>
      </c>
      <c r="E51" s="7" t="n">
        <v>0.25</v>
      </c>
      <c r="F51" s="7" t="n">
        <v>0</v>
      </c>
      <c r="G51" s="3">
        <f>E51+F51</f>
        <v/>
      </c>
      <c r="H51" s="8" t="n"/>
      <c r="I51" s="9">
        <f>IF(H51="","",G51*H51)</f>
        <v/>
      </c>
      <c r="J51" s="10" t="n"/>
      <c r="K51" s="10" t="n"/>
    </row>
    <row r="52">
      <c r="A52" s="3" t="n">
        <v>51</v>
      </c>
      <c r="B52" s="3" t="inlineStr">
        <is>
          <t>Filament</t>
        </is>
      </c>
      <c r="C52" s="3" t="inlineStr">
        <is>
          <t>PLA orange (kg)</t>
        </is>
      </c>
      <c r="D52" s="3" t="inlineStr">
        <is>
          <t>Zierleisten</t>
        </is>
      </c>
      <c r="E52" s="7" t="n">
        <v>0.1</v>
      </c>
      <c r="F52" s="7" t="n">
        <v>0</v>
      </c>
      <c r="G52" s="3">
        <f>E52+F52</f>
        <v/>
      </c>
      <c r="H52" s="8" t="n"/>
      <c r="I52" s="9">
        <f>IF(H52="","",G52*H52)</f>
        <v/>
      </c>
      <c r="J52" s="10" t="n"/>
      <c r="K52" s="10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2" t="inlineStr">
        <is>
          <t>Summe</t>
        </is>
      </c>
      <c r="I54" s="11">
        <f>SUM(I2:I52)</f>
        <v/>
      </c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inlineStr">
        <is>
          <t>Preise erfasst</t>
        </is>
      </c>
      <c r="I55" s="3">
        <f>COUNT(H2:H52)&amp;" von 51"</f>
        <v/>
      </c>
      <c r="J55" s="3" t="n"/>
      <c r="K55" s="3" t="n"/>
    </row>
  </sheetData>
  <dataValidations count="1">
    <dataValidation sqref="J2:J52" showDropDown="0" showInputMessage="0" showErrorMessage="0" allowBlank="1" type="list">
      <formula1>"offen,bestellt,geliefert,vorhanden"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26" customWidth="1" min="1" max="1"/>
    <col width="36" customWidth="1" min="2" max="2"/>
    <col width="10" customWidth="1" min="3" max="3"/>
    <col width="8" customWidth="1" min="4" max="4"/>
    <col width="20" customWidth="1" min="5" max="5"/>
    <col width="14" customWidth="1" min="6" max="6"/>
    <col width="22" customWidth="1" min="7" max="7"/>
    <col width="10" customWidth="1" min="8" max="8"/>
    <col width="22" customWidth="1" min="9" max="10"/>
    <col width="40" customWidth="1" min="11" max="11"/>
  </cols>
  <sheetData>
    <row r="1" ht="30" customHeight="1">
      <c r="A1" s="6" t="inlineStr">
        <is>
          <t>Bauteil</t>
        </is>
      </c>
      <c r="B1" s="6" t="inlineStr">
        <is>
          <t>Makro / Objekt</t>
        </is>
      </c>
      <c r="C1" s="6" t="inlineStr">
        <is>
          <t>Material</t>
        </is>
      </c>
      <c r="D1" s="6" t="inlineStr">
        <is>
          <t>Anzahl</t>
        </is>
      </c>
      <c r="E1" s="6" t="inlineStr">
        <is>
          <t>Volumen je Teil (cm³)</t>
        </is>
      </c>
      <c r="F1" s="6" t="inlineStr">
        <is>
          <t>Dichte (g/cm³)</t>
        </is>
      </c>
      <c r="G1" s="6" t="inlineStr">
        <is>
          <t>Masse massiv je Teil (g)</t>
        </is>
      </c>
      <c r="H1" s="6" t="inlineStr">
        <is>
          <t>Füllfaktor</t>
        </is>
      </c>
      <c r="I1" s="6" t="inlineStr">
        <is>
          <t>Masse gedruckt gesamt (g)</t>
        </is>
      </c>
      <c r="J1" s="6" t="inlineStr">
        <is>
          <t>Füllung (Cura)</t>
        </is>
      </c>
      <c r="K1" s="6" t="inlineStr">
        <is>
          <t>Druckausrichtung / Hinweis</t>
        </is>
      </c>
    </row>
    <row r="2">
      <c r="A2" s="3" t="inlineStr">
        <is>
          <t>Coxa rechts</t>
        </is>
      </c>
      <c r="B2" s="3" t="inlineStr">
        <is>
          <t>Bein-Makro, Coxa_Part</t>
        </is>
      </c>
      <c r="C2" s="3" t="inlineStr">
        <is>
          <t>PETG</t>
        </is>
      </c>
      <c r="D2" s="7" t="n">
        <v>3</v>
      </c>
      <c r="E2" s="7" t="n">
        <v>21.71</v>
      </c>
      <c r="F2" s="7" t="n">
        <v>1.27</v>
      </c>
      <c r="G2" s="12">
        <f>E2*F2</f>
        <v/>
      </c>
      <c r="H2" s="7" t="n">
        <v>0.8</v>
      </c>
      <c r="I2" s="13">
        <f>D2*G2*H2</f>
        <v/>
      </c>
      <c r="J2" s="3" t="inlineStr">
        <is>
          <t>50 % Gyroid</t>
        </is>
      </c>
      <c r="K2" s="3" t="inlineStr">
        <is>
          <t>Gelenkachse senkrecht, Tree Support</t>
        </is>
      </c>
    </row>
    <row r="3">
      <c r="A3" s="3" t="inlineStr">
        <is>
          <t>Coxa links (gespiegelt)</t>
        </is>
      </c>
      <c r="B3" s="3" t="inlineStr">
        <is>
          <t>MIRROR = True oder in Cura spiegeln</t>
        </is>
      </c>
      <c r="C3" s="3" t="inlineStr">
        <is>
          <t>PETG</t>
        </is>
      </c>
      <c r="D3" s="7" t="n">
        <v>3</v>
      </c>
      <c r="E3" s="7" t="n">
        <v>21.71</v>
      </c>
      <c r="F3" s="7" t="n">
        <v>1.27</v>
      </c>
      <c r="G3" s="12">
        <f>E3*F3</f>
        <v/>
      </c>
      <c r="H3" s="7" t="n">
        <v>0.8</v>
      </c>
      <c r="I3" s="13">
        <f>D3*G3*H3</f>
        <v/>
      </c>
      <c r="J3" s="3" t="inlineStr">
        <is>
          <t>50 % Gyroid</t>
        </is>
      </c>
      <c r="K3" s="3" t="inlineStr">
        <is>
          <t>wie rechts</t>
        </is>
      </c>
    </row>
    <row r="4">
      <c r="A4" s="3" t="inlineStr">
        <is>
          <t>Femur rechts</t>
        </is>
      </c>
      <c r="B4" s="3" t="inlineStr">
        <is>
          <t>Femur_Part</t>
        </is>
      </c>
      <c r="C4" s="3" t="inlineStr">
        <is>
          <t>PETG</t>
        </is>
      </c>
      <c r="D4" s="7" t="n">
        <v>3</v>
      </c>
      <c r="E4" s="7" t="n">
        <v>44.23</v>
      </c>
      <c r="F4" s="7" t="n">
        <v>1.27</v>
      </c>
      <c r="G4" s="12">
        <f>E4*F4</f>
        <v/>
      </c>
      <c r="H4" s="7" t="n">
        <v>0.8</v>
      </c>
      <c r="I4" s="13">
        <f>D4*G4*H4</f>
        <v/>
      </c>
      <c r="J4" s="3" t="inlineStr">
        <is>
          <t>40 % Gyroid</t>
        </is>
      </c>
      <c r="K4" s="3" t="inlineStr">
        <is>
          <t>Gelenkachse senkrecht, Tree Support</t>
        </is>
      </c>
    </row>
    <row r="5">
      <c r="A5" s="3" t="inlineStr">
        <is>
          <t>Femur links (gespiegelt)</t>
        </is>
      </c>
      <c r="B5" s="3" t="inlineStr">
        <is>
          <t>Femur_Part, gespiegelt</t>
        </is>
      </c>
      <c r="C5" s="3" t="inlineStr">
        <is>
          <t>PETG</t>
        </is>
      </c>
      <c r="D5" s="7" t="n">
        <v>3</v>
      </c>
      <c r="E5" s="7" t="n">
        <v>44.23</v>
      </c>
      <c r="F5" s="7" t="n">
        <v>1.27</v>
      </c>
      <c r="G5" s="12">
        <f>E5*F5</f>
        <v/>
      </c>
      <c r="H5" s="7" t="n">
        <v>0.8</v>
      </c>
      <c r="I5" s="13">
        <f>D5*G5*H5</f>
        <v/>
      </c>
      <c r="J5" s="3" t="inlineStr">
        <is>
          <t>40 % Gyroid</t>
        </is>
      </c>
      <c r="K5" s="3" t="inlineStr">
        <is>
          <t>wie rechts</t>
        </is>
      </c>
    </row>
    <row r="6">
      <c r="A6" s="3" t="inlineStr">
        <is>
          <t>Tibia rechts</t>
        </is>
      </c>
      <c r="B6" s="3" t="inlineStr">
        <is>
          <t>Tibia_Part</t>
        </is>
      </c>
      <c r="C6" s="3" t="inlineStr">
        <is>
          <t>PETG</t>
        </is>
      </c>
      <c r="D6" s="7" t="n">
        <v>3</v>
      </c>
      <c r="E6" s="7" t="n">
        <v>52.24</v>
      </c>
      <c r="F6" s="7" t="n">
        <v>1.27</v>
      </c>
      <c r="G6" s="12">
        <f>E6*F6</f>
        <v/>
      </c>
      <c r="H6" s="7" t="n">
        <v>0.8</v>
      </c>
      <c r="I6" s="13">
        <f>D6*G6*H6</f>
        <v/>
      </c>
      <c r="J6" s="3" t="inlineStr">
        <is>
          <t>40 % Gyroid</t>
        </is>
      </c>
      <c r="K6" s="3" t="inlineStr">
        <is>
          <t>Gelenkachse senkrecht, Tree Support</t>
        </is>
      </c>
    </row>
    <row r="7">
      <c r="A7" s="3" t="inlineStr">
        <is>
          <t>Tibia links (gespiegelt)</t>
        </is>
      </c>
      <c r="B7" s="3" t="inlineStr">
        <is>
          <t>Tibia_Part, gespiegelt</t>
        </is>
      </c>
      <c r="C7" s="3" t="inlineStr">
        <is>
          <t>PETG</t>
        </is>
      </c>
      <c r="D7" s="7" t="n">
        <v>3</v>
      </c>
      <c r="E7" s="7" t="n">
        <v>52.24</v>
      </c>
      <c r="F7" s="7" t="n">
        <v>1.27</v>
      </c>
      <c r="G7" s="12">
        <f>E7*F7</f>
        <v/>
      </c>
      <c r="H7" s="7" t="n">
        <v>0.8</v>
      </c>
      <c r="I7" s="13">
        <f>D7*G7*H7</f>
        <v/>
      </c>
      <c r="J7" s="3" t="inlineStr">
        <is>
          <t>40 % Gyroid</t>
        </is>
      </c>
      <c r="K7" s="3" t="inlineStr">
        <is>
          <t>wie rechts</t>
        </is>
      </c>
    </row>
    <row r="8">
      <c r="A8" s="3" t="inlineStr">
        <is>
          <t>Fuß</t>
        </is>
      </c>
      <c r="B8" s="3" t="inlineStr">
        <is>
          <t>Foot_TPU</t>
        </is>
      </c>
      <c r="C8" s="3" t="inlineStr">
        <is>
          <t>TPU 95A</t>
        </is>
      </c>
      <c r="D8" s="7" t="n">
        <v>6</v>
      </c>
      <c r="E8" s="7" t="n">
        <v>17.23</v>
      </c>
      <c r="F8" s="7" t="n">
        <v>1.21</v>
      </c>
      <c r="G8" s="12">
        <f>E8*F8</f>
        <v/>
      </c>
      <c r="H8" s="7" t="n">
        <v>0.8</v>
      </c>
      <c r="I8" s="13">
        <f>D8*G8*H8</f>
        <v/>
      </c>
      <c r="J8" s="3" t="inlineStr">
        <is>
          <t>20–25 % Gyroid, 5 Wände</t>
        </is>
      </c>
      <c r="K8" s="3" t="inlineStr">
        <is>
          <t>Öffnung nach unten, ohne Stützen</t>
        </is>
      </c>
    </row>
    <row r="9">
      <c r="A9" s="3" t="inlineStr">
        <is>
          <t>Zierleiste Femur</t>
        </is>
      </c>
      <c r="B9" s="3" t="inlineStr">
        <is>
          <t>Deco_Femur_A/B</t>
        </is>
      </c>
      <c r="C9" s="3" t="inlineStr">
        <is>
          <t>PLA</t>
        </is>
      </c>
      <c r="D9" s="7" t="n">
        <v>12</v>
      </c>
      <c r="E9" s="7" t="n">
        <v>0.92</v>
      </c>
      <c r="F9" s="7" t="n">
        <v>1.24</v>
      </c>
      <c r="G9" s="12">
        <f>E9*F9</f>
        <v/>
      </c>
      <c r="H9" s="7" t="n">
        <v>1</v>
      </c>
      <c r="I9" s="13">
        <f>D9*G9*H9</f>
        <v/>
      </c>
      <c r="J9" s="3" t="inlineStr">
        <is>
          <t>20 %</t>
        </is>
      </c>
      <c r="K9" s="3" t="inlineStr">
        <is>
          <t>flach</t>
        </is>
      </c>
    </row>
    <row r="10">
      <c r="A10" s="3" t="inlineStr">
        <is>
          <t>Zierleiste Tibia</t>
        </is>
      </c>
      <c r="B10" s="3" t="inlineStr">
        <is>
          <t>Deco_Tibia_A/B</t>
        </is>
      </c>
      <c r="C10" s="3" t="inlineStr">
        <is>
          <t>PLA</t>
        </is>
      </c>
      <c r="D10" s="7" t="n">
        <v>12</v>
      </c>
      <c r="E10" s="7" t="n">
        <v>1.04</v>
      </c>
      <c r="F10" s="7" t="n">
        <v>1.24</v>
      </c>
      <c r="G10" s="12">
        <f>E10*F10</f>
        <v/>
      </c>
      <c r="H10" s="7" t="n">
        <v>1</v>
      </c>
      <c r="I10" s="13">
        <f>D10*G10*H10</f>
        <v/>
      </c>
      <c r="J10" s="3" t="inlineStr">
        <is>
          <t>20 %</t>
        </is>
      </c>
      <c r="K10" s="3" t="inlineStr">
        <is>
          <t>flach</t>
        </is>
      </c>
    </row>
    <row r="11">
      <c r="A11" s="3" t="inlineStr">
        <is>
          <t>Baseplate oben vorn</t>
        </is>
      </c>
      <c r="B11" s="3" t="inlineStr">
        <is>
          <t>Baseplate_Top_Front</t>
        </is>
      </c>
      <c r="C11" s="3" t="inlineStr">
        <is>
          <t>PETG</t>
        </is>
      </c>
      <c r="D11" s="7" t="n">
        <v>1</v>
      </c>
      <c r="E11" s="7" t="n">
        <v>150.79</v>
      </c>
      <c r="F11" s="7" t="n">
        <v>1.27</v>
      </c>
      <c r="G11" s="12">
        <f>E11*F11</f>
        <v/>
      </c>
      <c r="H11" s="7" t="n">
        <v>0.85</v>
      </c>
      <c r="I11" s="13">
        <f>D11*G11*H11</f>
        <v/>
      </c>
      <c r="J11" s="3" t="inlineStr">
        <is>
          <t>30 % Gyroid</t>
        </is>
      </c>
      <c r="K11" s="3" t="inlineStr">
        <is>
          <t>Unterseite aufs Bett, Brim 5 mm</t>
        </is>
      </c>
    </row>
    <row r="12">
      <c r="A12" s="3" t="inlineStr">
        <is>
          <t>Baseplate oben hinten</t>
        </is>
      </c>
      <c r="B12" s="3" t="inlineStr">
        <is>
          <t>Baseplate_Top_Rear</t>
        </is>
      </c>
      <c r="C12" s="3" t="inlineStr">
        <is>
          <t>PETG</t>
        </is>
      </c>
      <c r="D12" s="7" t="n">
        <v>1</v>
      </c>
      <c r="E12" s="7" t="n">
        <v>88.45</v>
      </c>
      <c r="F12" s="7" t="n">
        <v>1.27</v>
      </c>
      <c r="G12" s="12">
        <f>E12*F12</f>
        <v/>
      </c>
      <c r="H12" s="7" t="n">
        <v>0.85</v>
      </c>
      <c r="I12" s="13">
        <f>D12*G12*H12</f>
        <v/>
      </c>
      <c r="J12" s="3" t="inlineStr">
        <is>
          <t>30 % Gyroid</t>
        </is>
      </c>
      <c r="K12" s="3" t="inlineStr">
        <is>
          <t>kopfüber drucken (Stoßzunge oben)</t>
        </is>
      </c>
    </row>
    <row r="13">
      <c r="A13" s="3" t="inlineStr">
        <is>
          <t>Baseplate unten vorn</t>
        </is>
      </c>
      <c r="B13" s="3" t="inlineStr">
        <is>
          <t>Baseplate_Bottom_Front</t>
        </is>
      </c>
      <c r="C13" s="3" t="inlineStr">
        <is>
          <t>PETG</t>
        </is>
      </c>
      <c r="D13" s="7" t="n">
        <v>1</v>
      </c>
      <c r="E13" s="7" t="n">
        <v>148.88</v>
      </c>
      <c r="F13" s="7" t="n">
        <v>1.27</v>
      </c>
      <c r="G13" s="12">
        <f>E13*F13</f>
        <v/>
      </c>
      <c r="H13" s="7" t="n">
        <v>0.85</v>
      </c>
      <c r="I13" s="13">
        <f>D13*G13*H13</f>
        <v/>
      </c>
      <c r="J13" s="3" t="inlineStr">
        <is>
          <t>30 % Gyroid</t>
        </is>
      </c>
      <c r="K13" s="3" t="inlineStr">
        <is>
          <t>Unterseite aufs Bett</t>
        </is>
      </c>
    </row>
    <row r="14">
      <c r="A14" s="3" t="inlineStr">
        <is>
          <t>Baseplate unten hinten</t>
        </is>
      </c>
      <c r="B14" s="3" t="inlineStr">
        <is>
          <t>Baseplate_Bottom_Rear</t>
        </is>
      </c>
      <c r="C14" s="3" t="inlineStr">
        <is>
          <t>PETG</t>
        </is>
      </c>
      <c r="D14" s="7" t="n">
        <v>1</v>
      </c>
      <c r="E14" s="7" t="n">
        <v>87.37</v>
      </c>
      <c r="F14" s="7" t="n">
        <v>1.27</v>
      </c>
      <c r="G14" s="12">
        <f>E14*F14</f>
        <v/>
      </c>
      <c r="H14" s="7" t="n">
        <v>0.85</v>
      </c>
      <c r="I14" s="13">
        <f>D14*G14*H14</f>
        <v/>
      </c>
      <c r="J14" s="3" t="inlineStr">
        <is>
          <t>30 % Gyroid</t>
        </is>
      </c>
      <c r="K14" s="3" t="inlineStr">
        <is>
          <t>Stoßzunge braucht flache Stütze</t>
        </is>
      </c>
    </row>
    <row r="15">
      <c r="A15" s="3" t="inlineStr">
        <is>
          <t>Kamerahalter</t>
        </is>
      </c>
      <c r="B15" s="3" t="inlineStr">
        <is>
          <t>Stereo-Makro V1.4 / Stereo_Mount</t>
        </is>
      </c>
      <c r="C15" s="3" t="inlineStr">
        <is>
          <t>PETG</t>
        </is>
      </c>
      <c r="D15" s="7" t="n">
        <v>1</v>
      </c>
      <c r="E15" s="7" t="n">
        <v>31</v>
      </c>
      <c r="F15" s="7" t="n">
        <v>1.27</v>
      </c>
      <c r="G15" s="12">
        <f>E15*F15</f>
        <v/>
      </c>
      <c r="H15" s="7" t="n">
        <v>0.85</v>
      </c>
      <c r="I15" s="13">
        <f>D15*G15*H15</f>
        <v/>
      </c>
      <c r="J15" s="3" t="inlineStr">
        <is>
          <t>30 %</t>
        </is>
      </c>
      <c r="K15" s="3" t="inlineStr">
        <is>
          <t>Frontfläche aufs Bett</t>
        </is>
      </c>
    </row>
    <row r="16">
      <c r="A16" s="3" t="inlineStr">
        <is>
          <t>Steckerhalter Akku</t>
        </is>
      </c>
      <c r="B16" s="3" t="inlineStr">
        <is>
          <t>Baseplate-Makro V2.6 / Connector_Holder</t>
        </is>
      </c>
      <c r="C16" s="3" t="inlineStr">
        <is>
          <t>PETG</t>
        </is>
      </c>
      <c r="D16" s="7" t="n">
        <v>1</v>
      </c>
      <c r="E16" s="7" t="n">
        <v>4.06</v>
      </c>
      <c r="F16" s="7" t="n">
        <v>1.27</v>
      </c>
      <c r="G16" s="12">
        <f>E16*F16</f>
        <v/>
      </c>
      <c r="H16" s="7" t="n">
        <v>1</v>
      </c>
      <c r="I16" s="13">
        <f>D16*G16*H16</f>
        <v/>
      </c>
      <c r="J16" s="3" t="inlineStr">
        <is>
          <t>100 %</t>
        </is>
      </c>
      <c r="K16" s="3" t="inlineStr">
        <is>
          <t>Laschen aufs Bett, Tunnel liegen waagrecht (kurze Brücken)</t>
        </is>
      </c>
    </row>
    <row r="17">
      <c r="A17" s="3" t="inlineStr">
        <is>
          <t>Akku-Riegel (Bajonettstift)</t>
        </is>
      </c>
      <c r="B17" s="3" t="inlineStr">
        <is>
          <t>Baseplate-Makro V2.7 / Battery_Latch (STL: SLARC_Battery_Latch_Pin)</t>
        </is>
      </c>
      <c r="C17" s="3" t="inlineStr">
        <is>
          <t>PETG</t>
        </is>
      </c>
      <c r="D17" s="7" t="n">
        <v>1</v>
      </c>
      <c r="E17" s="7" t="n">
        <v>3.63</v>
      </c>
      <c r="F17" s="7" t="n">
        <v>1.27</v>
      </c>
      <c r="G17" s="12">
        <f>E17*F17</f>
        <v/>
      </c>
      <c r="H17" s="7" t="n">
        <v>1</v>
      </c>
      <c r="I17" s="13">
        <f>D17*G17*H17</f>
        <v/>
      </c>
      <c r="J17" s="3" t="inlineStr">
        <is>
          <t>100 %, 4 Wände</t>
        </is>
      </c>
      <c r="K17" s="3" t="inlineStr">
        <is>
          <t>stehend, Kopf aufs Bett, ohne Stützen</t>
        </is>
      </c>
    </row>
    <row r="18">
      <c r="A18" s="3" t="inlineStr">
        <is>
          <t>Rückenpanzer vorn</t>
        </is>
      </c>
      <c r="B18" s="3" t="inlineStr">
        <is>
          <t>slarc_cover_v1.py / Cover_Front</t>
        </is>
      </c>
      <c r="C18" s="3" t="inlineStr">
        <is>
          <t>PETG</t>
        </is>
      </c>
      <c r="D18" s="7" t="n">
        <v>1</v>
      </c>
      <c r="E18" s="7" t="n">
        <v>79.8</v>
      </c>
      <c r="F18" s="7" t="n">
        <v>1.27</v>
      </c>
      <c r="G18" s="12">
        <f>E18*F18</f>
        <v/>
      </c>
      <c r="H18" s="7" t="n">
        <v>0.9</v>
      </c>
      <c r="I18" s="13">
        <f>D18*G18*H18</f>
        <v/>
      </c>
      <c r="J18" s="3" t="inlineStr">
        <is>
          <t>100 % (Gitter, 4 Wände)</t>
        </is>
      </c>
      <c r="K18" s="3" t="inlineStr">
        <is>
          <t>Grundfläche aufs Bett, ohne Stützen</t>
        </is>
      </c>
    </row>
    <row r="19">
      <c r="A19" s="3" t="inlineStr">
        <is>
          <t>Rückenpanzer hinten</t>
        </is>
      </c>
      <c r="B19" s="3" t="inlineStr">
        <is>
          <t>slarc_cover_v1.py / Cover_Rear</t>
        </is>
      </c>
      <c r="C19" s="3" t="inlineStr">
        <is>
          <t>PETG</t>
        </is>
      </c>
      <c r="D19" s="7" t="n">
        <v>1</v>
      </c>
      <c r="E19" s="7" t="n">
        <v>66.3</v>
      </c>
      <c r="F19" s="7" t="n">
        <v>1.27</v>
      </c>
      <c r="G19" s="12">
        <f>E19*F19</f>
        <v/>
      </c>
      <c r="H19" s="7" t="n">
        <v>0.9</v>
      </c>
      <c r="I19" s="13">
        <f>D19*G19*H19</f>
        <v/>
      </c>
      <c r="J19" s="3" t="inlineStr">
        <is>
          <t>100 % (Gitter, 4 Wände)</t>
        </is>
      </c>
      <c r="K19" s="3" t="inlineStr">
        <is>
          <t>Grundfläche aufs Bett, ohne Stützen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2" t="inlineStr">
        <is>
          <t>Summe nach Material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inlineStr">
        <is>
          <t>PETG</t>
        </is>
      </c>
      <c r="B22" s="3" t="n"/>
      <c r="C22" s="3" t="n"/>
      <c r="D22" s="3" t="n"/>
      <c r="E22" s="3" t="n"/>
      <c r="F22" s="3" t="n"/>
      <c r="G22" s="3" t="n"/>
      <c r="H22" s="3" t="inlineStr">
        <is>
          <t>g gesamt</t>
        </is>
      </c>
      <c r="I22" s="13">
        <f>SUMIFS(I2:I19,C2:C19,A22)</f>
        <v/>
      </c>
      <c r="J22" s="3" t="n"/>
      <c r="K22" s="3" t="n"/>
    </row>
    <row r="23">
      <c r="A23" s="3" t="inlineStr">
        <is>
          <t>TPU 95A</t>
        </is>
      </c>
      <c r="B23" s="3" t="n"/>
      <c r="C23" s="3" t="n"/>
      <c r="D23" s="3" t="n"/>
      <c r="E23" s="3" t="n"/>
      <c r="F23" s="3" t="n"/>
      <c r="G23" s="3" t="n"/>
      <c r="H23" s="3" t="inlineStr">
        <is>
          <t>g gesamt</t>
        </is>
      </c>
      <c r="I23" s="13">
        <f>SUMIFS(I2:I19,C2:C19,A23)</f>
        <v/>
      </c>
      <c r="J23" s="3" t="n"/>
      <c r="K23" s="3" t="n"/>
    </row>
    <row r="24">
      <c r="A24" s="3" t="inlineStr">
        <is>
          <t>PLA</t>
        </is>
      </c>
      <c r="B24" s="3" t="n"/>
      <c r="C24" s="3" t="n"/>
      <c r="D24" s="3" t="n"/>
      <c r="E24" s="3" t="n"/>
      <c r="F24" s="3" t="n"/>
      <c r="G24" s="3" t="n"/>
      <c r="H24" s="3" t="inlineStr">
        <is>
          <t>g gesamt</t>
        </is>
      </c>
      <c r="I24" s="13">
        <f>SUMIFS(I2:I19,C2:C19,A24)</f>
        <v/>
      </c>
      <c r="J24" s="3" t="n"/>
      <c r="K24" s="3" t="n"/>
    </row>
    <row r="25">
      <c r="A25" s="2" t="inlineStr">
        <is>
          <t>Alle Druckteile</t>
        </is>
      </c>
      <c r="B25" s="3" t="n"/>
      <c r="C25" s="3" t="n"/>
      <c r="D25" s="3" t="n"/>
      <c r="E25" s="3" t="n"/>
      <c r="F25" s="3" t="n"/>
      <c r="G25" s="3" t="n"/>
      <c r="H25" s="3" t="n"/>
      <c r="I25" s="14">
        <f>SUM(I22:I24)</f>
        <v/>
      </c>
      <c r="J25" s="3" t="n"/>
      <c r="K2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10" defaultColWidth="8.88671875" defaultRowHeight="14.4"/>
  <cols>
    <col width="56" customWidth="1" min="1" max="1"/>
    <col width="12" customWidth="1" min="2" max="2"/>
    <col width="40" customWidth="1" min="3" max="3"/>
  </cols>
  <sheetData>
    <row r="1" ht="30" customHeight="1">
      <c r="A1" s="6" t="inlineStr">
        <is>
          <t>Baugruppe</t>
        </is>
      </c>
      <c r="B1" s="6" t="inlineStr">
        <is>
          <t>Masse (g)</t>
        </is>
      </c>
      <c r="C1" s="6" t="inlineStr">
        <is>
          <t>Quelle / Annahme</t>
        </is>
      </c>
    </row>
    <row r="2">
      <c r="A2" s="3" t="inlineStr">
        <is>
          <t>Gedruckte Teile</t>
        </is>
      </c>
      <c r="B2" s="15">
        <f>Druckteile!I25</f>
        <v/>
      </c>
      <c r="C2" s="3" t="inlineStr">
        <is>
          <t>Blatt Druckteile</t>
        </is>
      </c>
    </row>
    <row r="3">
      <c r="A3" s="3" t="inlineStr">
        <is>
          <t>Servos ST3215</t>
        </is>
      </c>
      <c r="B3" s="15">
        <f>18*55</f>
        <v/>
      </c>
      <c r="C3" s="3" t="inlineStr">
        <is>
          <t>18 x ca. 55 g (Annahme, bitte wiegen)</t>
        </is>
      </c>
    </row>
    <row r="4">
      <c r="A4" s="3" t="inlineStr">
        <is>
          <t>Akku 3S 9000 mAh</t>
        </is>
      </c>
      <c r="B4" s="16" t="n">
        <v>600</v>
      </c>
      <c r="C4" s="3" t="inlineStr">
        <is>
          <t>Annahme, bitte wiegen</t>
        </is>
      </c>
    </row>
    <row r="5">
      <c r="A5" s="3" t="inlineStr">
        <is>
          <t>Elektronik (Pi+Hailo+Kühler, Treiber, Kameras, Relais, BMS, DC-DC, MCP23017)</t>
        </is>
      </c>
      <c r="B5" s="16" t="n">
        <v>450</v>
      </c>
      <c r="C5" s="3" t="inlineStr">
        <is>
          <t>Annahme</t>
        </is>
      </c>
    </row>
    <row r="6">
      <c r="A6" s="3" t="inlineStr">
        <is>
          <t>Kabel, Schrauben, Kleinteile</t>
        </is>
      </c>
      <c r="B6" s="16" t="n">
        <v>200</v>
      </c>
      <c r="C6" s="3" t="inlineStr">
        <is>
          <t>Annahme</t>
        </is>
      </c>
    </row>
    <row r="7">
      <c r="A7" s="2" t="inlineStr">
        <is>
          <t>Gesamt</t>
        </is>
      </c>
      <c r="B7" s="17">
        <f>SUM(B2:B6)</f>
        <v/>
      </c>
      <c r="C7" s="3" t="inlineStr">
        <is>
          <t>Sim rechnet bisher mit 2.580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2026-10-23T19:11:36Z</dcterms:created>
  <dcterms:modified xmlns:dcterms="http://purl.org/dc/terms/" xmlns:xsi="http://www.w3.org/2001/XMLSchema-instance" xsi:type="dcterms:W3CDTF">2026-10-24T20:43:21Z</dcterms:modified>
  <cp:lastModifiedBy>Marco Vorbach</cp:lastModifiedBy>
</cp:coreProperties>
</file>