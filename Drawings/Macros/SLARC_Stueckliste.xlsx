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&quot;€&quot;"/>
    <numFmt numFmtId="165" formatCode="#,##0.00 &quot;€&quot;;-#,##0.00 &quot;€&quot;;-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00FF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E2" authorId="0" shapeId="0">
      <text>
        <t>Beispielzeile: Menge 18 + Reserve 2 = Bestellmenge 20. Einzelpreis in H eintragen.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2" authorId="0" shapeId="0">
      <text>
        <t>Füllfaktor = gedruckte Masse / massive Masse (Schätzung). Dünnwandige Teile mit 4 Wänden liegen nahe 0,8; die 4-mm-Platten sind fast massiv.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SLARC – Stückliste (BOM)</t>
        </is>
      </c>
    </row>
    <row r="2">
      <c r="A2" s="2" t="inlineStr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inlineStr"/>
      <c r="B6" s="3" t="n"/>
    </row>
    <row r="7">
      <c r="A7" s="2" t="inlineStr">
        <is>
          <t>Stand</t>
        </is>
      </c>
      <c r="B7" s="3" t="inlineStr">
        <is>
          <t>Konstruktion: Bein V9 (175/150, Knick 60° bei 90 mm – Längen nach der Sim noch offen), Baseplates V2.4, Kamerahalter V1.3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4" customWidth="1" min="3" max="3"/>
    <col width="62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/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XT60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XT60 Stecker/Buchse (Paar)</t>
        </is>
      </c>
      <c r="D21" s="3" t="inlineStr"/>
      <c r="E21" s="7" t="n">
        <v>2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inlineStr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SN74LVC1G125 (Puffer)</t>
        </is>
      </c>
      <c r="D25" s="3" t="inlineStr">
        <is>
          <t>DATA-Bus H5/H6</t>
        </is>
      </c>
      <c r="E25" s="7" t="n">
        <v>1</v>
      </c>
      <c r="F25" s="7" t="n">
        <v>1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Diode 1N4148</t>
        </is>
      </c>
      <c r="D26" s="3" t="inlineStr">
        <is>
          <t>Abschaltschaltung Pi</t>
        </is>
      </c>
      <c r="E26" s="7" t="n">
        <v>2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Dupont-Kabel (Trigger/Strobe)</t>
        </is>
      </c>
      <c r="D27" s="3" t="inlineStr">
        <is>
          <t>Kameras &lt;-&gt; Trigger-Platine</t>
        </is>
      </c>
      <c r="E27" s="7" t="n">
        <v>4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M3x8 (ISO 7380/4762)</t>
        </is>
      </c>
      <c r="D28" s="3" t="inlineStr">
        <is>
          <t>Gabelwange oben -&gt; Horn, 4 je Gelenk; NICHT länger (Servogehäuse)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Zylinderschraube M3x6</t>
        </is>
      </c>
      <c r="D29" s="3" t="inlineStr">
        <is>
          <t>Gabelwange unten -&gt; Rückscheibe, 4 je Gelenk; nicht länger</t>
        </is>
      </c>
      <c r="E29" s="7" t="n">
        <v>72</v>
      </c>
      <c r="F29" s="7" t="n">
        <v>8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Blechschraube 2x5 (beiliegend bei ST3215)</t>
        </is>
      </c>
      <c r="D30" s="3" t="inlineStr">
        <is>
          <t>Coxa 4 je Servo (Platten), Bein-Servos 2 je Servo</t>
        </is>
      </c>
      <c r="E30" s="7" t="n">
        <v>48</v>
      </c>
      <c r="F30" s="7" t="n">
        <v>0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Zylinderschraube M3x50</t>
        </is>
      </c>
      <c r="D31" s="3" t="inlineStr">
        <is>
          <t>Säulen obere/untere Platte, von unten in den Gewindeeinsatz des Panzers (ohne Panzer: M3x45 + Mutter)</t>
        </is>
      </c>
      <c r="E31" s="7" t="n">
        <v>8</v>
      </c>
      <c r="F31" s="7" t="n">
        <v>1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Gewindeeinsatz M3 (Einschmelzmutter, 5,7 lang, Ø4,6)</t>
        </is>
      </c>
      <c r="D32" s="3" t="inlineStr">
        <is>
          <t>unten in den 8 Panzersäulen</t>
        </is>
      </c>
      <c r="E32" s="7" t="n">
        <v>8</v>
      </c>
      <c r="F32" s="7" t="n">
        <v>2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Zylinderschraube M3x12 + Mutter</t>
        </is>
      </c>
      <c r="D33" s="3" t="inlineStr">
        <is>
          <t>Teilungsspant Panzer</t>
        </is>
      </c>
      <c r="E33" s="7" t="n">
        <v>3</v>
      </c>
      <c r="F33" s="7" t="n">
        <v>1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M3x10</t>
        </is>
      </c>
      <c r="D34" s="3" t="inlineStr">
        <is>
          <t>Plattenstoß, 4 je Platte</t>
        </is>
      </c>
      <c r="E34" s="7" t="n">
        <v>8</v>
      </c>
      <c r="F34" s="7" t="n">
        <v>2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Sicherungsmutter M3 (Nylonring)</t>
        </is>
      </c>
      <c r="D35" s="3" t="inlineStr">
        <is>
          <t>Säulen + Stoß + Relais</t>
        </is>
      </c>
      <c r="E35" s="7" t="n">
        <v>20</v>
      </c>
      <c r="F35" s="7" t="n">
        <v>4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Zylinderschraube M3x14</t>
        </is>
      </c>
      <c r="D36" s="3" t="inlineStr">
        <is>
          <t>Relais auf 5-mm-Bolzen (alternativ M2x14)</t>
        </is>
      </c>
      <c r="E36" s="7" t="n">
        <v>4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M3x10 + Mutter</t>
        </is>
      </c>
      <c r="D37" s="3" t="inlineStr">
        <is>
          <t>DC-DC-Laschen (2) + Modulträger MCP/MUX (4)</t>
        </is>
      </c>
      <c r="E37" s="7" t="n">
        <v>6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M2x6</t>
        </is>
      </c>
      <c r="D38" s="3" t="inlineStr">
        <is>
          <t>Kamera-Platinen, direkt ins 1,7-mm-Kernloch</t>
        </is>
      </c>
      <c r="E38" s="7" t="n">
        <v>8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M2x25 + Mutter</t>
        </is>
      </c>
      <c r="D39" s="3" t="inlineStr">
        <is>
          <t>Kamerahalter-Laschen durch Sockel + Platte</t>
        </is>
      </c>
      <c r="E39" s="7" t="n">
        <v>2</v>
      </c>
      <c r="F39" s="7" t="n">
        <v>1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Distanzbolzen M2,5x6 (Innen/Innen)</t>
        </is>
      </c>
      <c r="D40" s="3" t="inlineStr">
        <is>
          <t>Pi 5 (M2 geht mit Scheiben)</t>
        </is>
      </c>
      <c r="E40" s="7" t="n">
        <v>4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Distanzbolzen M2,5x12 (Innen/Innen)</t>
        </is>
      </c>
      <c r="D41" s="3" t="inlineStr">
        <is>
          <t>Treiberboard (Stiftleiste unten 9,4 mm)</t>
        </is>
      </c>
      <c r="E41" s="7" t="n">
        <v>4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Zylinderschraube M2,5x5</t>
        </is>
      </c>
      <c r="D42" s="3" t="inlineStr">
        <is>
          <t>für die Distanzbolzen, je 2</t>
        </is>
      </c>
      <c r="E42" s="7" t="n">
        <v>16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Kunststoff-Unterlegscheiben M2/M2,5/M3 (Sortiment)</t>
        </is>
      </c>
      <c r="D43" s="3" t="inlineStr"/>
      <c r="E43" s="7" t="n">
        <v>1</v>
      </c>
      <c r="F43" s="7" t="n">
        <v>0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Federstahldraht 1,2 mm (m)</t>
        </is>
      </c>
      <c r="D44" s="3" t="inlineStr">
        <is>
          <t>Haltestifte Mikroschalter, bündig abknipsen</t>
        </is>
      </c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Kleinteile</t>
        </is>
      </c>
      <c r="C45" s="3" t="inlineStr">
        <is>
          <t>Kabelbinder 2,5 mm</t>
        </is>
      </c>
      <c r="D45" s="3" t="inlineStr">
        <is>
          <t>Kabelösen Femur/Tibia</t>
        </is>
      </c>
      <c r="E45" s="7" t="n">
        <v>50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Klettband 20 mm (m)</t>
        </is>
      </c>
      <c r="D46" s="3" t="inlineStr">
        <is>
          <t>Batterie 2 Gurte, BMS 1 Gurt</t>
        </is>
      </c>
      <c r="E46" s="7" t="n">
        <v>1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Kleinteile</t>
        </is>
      </c>
      <c r="C47" s="3" t="inlineStr">
        <is>
          <t>Doppelseitiges Klebeband</t>
        </is>
      </c>
      <c r="D47" s="3" t="inlineStr">
        <is>
          <t>Trigger-Platine</t>
        </is>
      </c>
      <c r="E47" s="7" t="n">
        <v>1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Kleinteile</t>
        </is>
      </c>
      <c r="C48" s="3" t="inlineStr">
        <is>
          <t>2K-Epoxid oder Sekundenkleber + Primer</t>
        </is>
      </c>
      <c r="D48" s="3" t="inlineStr">
        <is>
          <t>Zierleisten</t>
        </is>
      </c>
      <c r="E48" s="7" t="n">
        <v>1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Filament</t>
        </is>
      </c>
      <c r="C49" s="3" t="inlineStr">
        <is>
          <t>PETG schwarz (kg)</t>
        </is>
      </c>
      <c r="D49" s="3" t="inlineStr">
        <is>
          <t>siehe Blatt Druckteile; inkl. Probedrucke</t>
        </is>
      </c>
      <c r="E49" s="7" t="n">
        <v>2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Filament</t>
        </is>
      </c>
      <c r="C50" s="3" t="inlineStr">
        <is>
          <t>TPU 95A (kg)</t>
        </is>
      </c>
      <c r="D50" s="3" t="inlineStr">
        <is>
          <t>Füße</t>
        </is>
      </c>
      <c r="E50" s="7" t="n">
        <v>0.25</v>
      </c>
      <c r="F50" s="7" t="n">
        <v>0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Filament</t>
        </is>
      </c>
      <c r="C51" s="3" t="inlineStr">
        <is>
          <t>PLA orange (kg)</t>
        </is>
      </c>
      <c r="D51" s="3" t="inlineStr">
        <is>
          <t>Zierleisten</t>
        </is>
      </c>
      <c r="E51" s="7" t="n">
        <v>0.1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2" t="inlineStr">
        <is>
          <t>Summe</t>
        </is>
      </c>
      <c r="I53" s="11">
        <f>SUM(I2:I51)</f>
        <v/>
      </c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inlineStr">
        <is>
          <t>Preise erfasst</t>
        </is>
      </c>
      <c r="I54" s="3">
        <f>COUNT(H2:H51)&amp;" von 50"</f>
        <v/>
      </c>
      <c r="J54" s="3" t="n"/>
      <c r="K54" s="3" t="n"/>
    </row>
  </sheetData>
  <dataValidations count="1">
    <dataValidation sqref="J2:J51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9"/>
    <col width="22" customWidth="1" min="10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88.7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87.91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V1.4 / Stereo_Mount</t>
        </is>
      </c>
      <c r="C15" s="3" t="inlineStr">
        <is>
          <t>PETG</t>
        </is>
      </c>
      <c r="D15" s="7" t="n">
        <v>1</v>
      </c>
      <c r="E15" s="7" t="n">
        <v>31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</t>
        </is>
      </c>
    </row>
    <row r="16">
      <c r="A16" s="3" t="inlineStr">
        <is>
          <t>Rückenpanzer vorn</t>
        </is>
      </c>
      <c r="B16" s="3" t="inlineStr">
        <is>
          <t>slarc_cover_v1.py / Cover_Front</t>
        </is>
      </c>
      <c r="C16" s="3" t="inlineStr">
        <is>
          <t>PETG</t>
        </is>
      </c>
      <c r="D16" s="7" t="n">
        <v>1</v>
      </c>
      <c r="E16" s="7" t="n">
        <v>122.5</v>
      </c>
      <c r="F16" s="7" t="n">
        <v>1.27</v>
      </c>
      <c r="G16" s="12">
        <f>E16*F16</f>
        <v/>
      </c>
      <c r="H16" s="7" t="n">
        <v>0.8</v>
      </c>
      <c r="I16" s="13">
        <f>D16*G16*H16</f>
        <v/>
      </c>
      <c r="J16" s="3" t="inlineStr">
        <is>
          <t>100 % (Gitter, 4 Wände)</t>
        </is>
      </c>
      <c r="K16" s="3" t="inlineStr">
        <is>
          <t>Grundfläche aufs Bett, ohne Stützen</t>
        </is>
      </c>
    </row>
    <row r="17">
      <c r="A17" s="3" t="inlineStr">
        <is>
          <t>Rückenpanzer hinten</t>
        </is>
      </c>
      <c r="B17" s="3" t="inlineStr">
        <is>
          <t>slarc_cover_v1.py / Cover_Rear</t>
        </is>
      </c>
      <c r="C17" s="3" t="inlineStr">
        <is>
          <t>PETG</t>
        </is>
      </c>
      <c r="D17" s="7" t="n">
        <v>1</v>
      </c>
      <c r="E17" s="7" t="n">
        <v>96.5</v>
      </c>
      <c r="F17" s="7" t="n">
        <v>1.27</v>
      </c>
      <c r="G17" s="12">
        <f>E17*F17</f>
        <v/>
      </c>
      <c r="H17" s="7" t="n">
        <v>0.8</v>
      </c>
      <c r="I17" s="13">
        <f>D17*G17*H17</f>
        <v/>
      </c>
      <c r="J17" s="3" t="inlineStr">
        <is>
          <t>100 % (Gitter, 4 Wände)</t>
        </is>
      </c>
      <c r="K17" s="3" t="inlineStr">
        <is>
          <t>Grundfläche aufs Bett, ohne Stützen</t>
        </is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2" t="inlineStr">
        <is>
          <t>Summe nach Material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PETG</t>
        </is>
      </c>
      <c r="B20" s="3" t="n"/>
      <c r="C20" s="3" t="n"/>
      <c r="D20" s="3" t="n"/>
      <c r="E20" s="3" t="n"/>
      <c r="F20" s="3" t="n"/>
      <c r="G20" s="3" t="n"/>
      <c r="H20" s="3" t="inlineStr">
        <is>
          <t>g gesamt</t>
        </is>
      </c>
      <c r="I20" s="13">
        <f>SUMIFS(I2:I17,C2:C17,A20)</f>
        <v/>
      </c>
      <c r="J20" s="3" t="n"/>
      <c r="K20" s="3" t="n"/>
    </row>
    <row r="21">
      <c r="A21" s="3" t="inlineStr">
        <is>
          <t>TPU 95A</t>
        </is>
      </c>
      <c r="B21" s="3" t="n"/>
      <c r="C21" s="3" t="n"/>
      <c r="D21" s="3" t="n"/>
      <c r="E21" s="3" t="n"/>
      <c r="F21" s="3" t="n"/>
      <c r="G21" s="3" t="n"/>
      <c r="H21" s="3" t="inlineStr">
        <is>
          <t>g gesamt</t>
        </is>
      </c>
      <c r="I21" s="13">
        <f>SUMIFS(I2:I17,C2:C17,A21)</f>
        <v/>
      </c>
      <c r="J21" s="3" t="n"/>
      <c r="K21" s="3" t="n"/>
    </row>
    <row r="22">
      <c r="A22" s="3" t="inlineStr">
        <is>
          <t>PLA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SUMIFS(I2:I17,C2:C17,A22)</f>
        <v/>
      </c>
      <c r="J22" s="3" t="n"/>
      <c r="K22" s="3" t="n"/>
    </row>
    <row r="23">
      <c r="A23" s="2" t="inlineStr">
        <is>
          <t>Alle Druckteile</t>
        </is>
      </c>
      <c r="B23" s="3" t="n"/>
      <c r="C23" s="3" t="n"/>
      <c r="D23" s="3" t="n"/>
      <c r="E23" s="3" t="n"/>
      <c r="F23" s="3" t="n"/>
      <c r="G23" s="3" t="n"/>
      <c r="H23" s="3" t="n"/>
      <c r="I23" s="14">
        <f>SUM(I20:I22)</f>
        <v/>
      </c>
      <c r="J23" s="3" t="n"/>
      <c r="K23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Druckteile!I23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2026-10-23T15:47:47Z</dcterms:created>
  <dcterms:modified xmlns:dcterms="http://purl.org/dc/terms/" xmlns:xsi="http://www.w3.org/2001/XMLSchema-instance" xsi:type="dcterms:W3CDTF">2026-10-23T15:47:47Z</dcterms:modified>
</cp:coreProperties>
</file>