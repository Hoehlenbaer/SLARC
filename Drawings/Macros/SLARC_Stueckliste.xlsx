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ende" sheetId="1" state="visible" r:id="rId3"/>
    <sheet name="Kaufteile" sheetId="2" state="visible" r:id="rId4"/>
    <sheet name="Druckteile" sheetId="3" state="visible" r:id="rId5"/>
    <sheet name="Gewich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2" authorId="0">
      <text>
        <r>
          <rPr>
            <sz val="10"/>
            <rFont val="Arial"/>
            <family val="2"/>
          </rPr>
          <t xml:space="preserve">Beispielzeile: Menge 18 + Reserve 2 = Bestellmenge 20. Einzelpreis in H eintragen.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2" authorId="0">
      <text>
        <r>
          <rPr>
            <sz val="10"/>
            <rFont val="Arial"/>
            <family val="2"/>
          </rPr>
          <t xml:space="preserve">Füllfaktor = gedruckte Masse / massive Masse (Schätzung). Dünnwandige Teile mit 4 Wänden liegen nahe 0,8; die 4-mm-Platten sind fast massiv.</t>
        </r>
      </text>
    </comment>
  </commentList>
</comments>
</file>

<file path=xl/sharedStrings.xml><?xml version="1.0" encoding="utf-8"?>
<sst xmlns="http://schemas.openxmlformats.org/spreadsheetml/2006/main" count="258" uniqueCount="191">
  <si>
    <t xml:space="preserve">SLARC – Stückliste (BOM)</t>
  </si>
  <si>
    <t xml:space="preserve">Blaue Schrift</t>
  </si>
  <si>
    <t xml:space="preserve">Eingabewerte (Mengen, Volumen, Schätzwerte) – bei Änderungen hier anpassen</t>
  </si>
  <si>
    <t xml:space="preserve">Gelb hinterlegt</t>
  </si>
  <si>
    <t xml:space="preserve">Von dir auszufüllen: Einzelpreis, Status, Bezugsquelle</t>
  </si>
  <si>
    <t xml:space="preserve">Schwarze Schrift</t>
  </si>
  <si>
    <t xml:space="preserve">Formeln – nicht überschreiben</t>
  </si>
  <si>
    <t xml:space="preserve">Stand</t>
  </si>
  <si>
    <t xml:space="preserve">Konstruktion: Bein V9 (175/150, Knick 60° bei 90 mm – Längen nach der Sim noch offen), Baseplates V2.4, Kamerahalter V1.3</t>
  </si>
  <si>
    <t xml:space="preserve">Druckteil-Volumen</t>
  </si>
  <si>
    <t xml:space="preserve">aus dem FreeCAD-Modell (Gesamtmodell, Standardparameter). Ändern sich Femur/Tibia-Längen, ändern sich die Volumen.</t>
  </si>
  <si>
    <t xml:space="preserve">Gewichte</t>
  </si>
  <si>
    <t xml:space="preserve">Gedruckte Masse = Volumen × Dichte × Füllfaktor. Der Füllfaktor ist eine Schätzung; Cura zeigt nach dem Slicen den echten Wert.</t>
  </si>
  <si>
    <t xml:space="preserve">Beispielzeile</t>
  </si>
  <si>
    <t xml:space="preserve">Zeile 'Servo ST3215' im Blatt Kaufteile zeigt das Format: Preis eintragen -&gt; Gesamtpreis rechnet sich.</t>
  </si>
  <si>
    <t xml:space="preserve">Pos</t>
  </si>
  <si>
    <t xml:space="preserve">Gruppe</t>
  </si>
  <si>
    <t xml:space="preserve">Bauteil</t>
  </si>
  <si>
    <t xml:space="preserve">Spezifikation / Hinweis</t>
  </si>
  <si>
    <t xml:space="preserve">Menge</t>
  </si>
  <si>
    <t xml:space="preserve">Reserve</t>
  </si>
  <si>
    <t xml:space="preserve">Bestellmenge</t>
  </si>
  <si>
    <t xml:space="preserve">Einzelpreis (€)</t>
  </si>
  <si>
    <t xml:space="preserve">Gesamt (€)</t>
  </si>
  <si>
    <t xml:space="preserve">Status</t>
  </si>
  <si>
    <t xml:space="preserve">Bezugsquelle</t>
  </si>
  <si>
    <t xml:space="preserve">Antrieb</t>
  </si>
  <si>
    <t xml:space="preserve">Servo ST3215 (Feetech/Waveshare, 12 V)</t>
  </si>
  <si>
    <t xml:space="preserve">30 kg·cm (2,94 Nm) Stall; Blechschrauben 2x5 beiliegend</t>
  </si>
  <si>
    <t xml:space="preserve">Steuerung</t>
  </si>
  <si>
    <t xml:space="preserve">Raspberry Pi 5</t>
  </si>
  <si>
    <t xml:space="preserve">inkl. Active Cooler</t>
  </si>
  <si>
    <t xml:space="preserve">Raspberry Pi Active Cooler</t>
  </si>
  <si>
    <t xml:space="preserve">falls nicht beim Pi</t>
  </si>
  <si>
    <t xml:space="preserve">Hailo-8 AI HAT+ (26 TOPS)</t>
  </si>
  <si>
    <t xml:space="preserve">bringt eigene Abstandsbolzen + GPIO-Verlängerung mit</t>
  </si>
  <si>
    <t xml:space="preserve">Waveshare General Driver for Robots</t>
  </si>
  <si>
    <t xml:space="preserve">ESP32, Bus-Servo-Anschluss</t>
  </si>
  <si>
    <t xml:space="preserve">5-V-Versorgung Pi 5 (5 V / 5 A)</t>
  </si>
  <si>
    <t xml:space="preserve">nur nötig, falls das Treiberboard den Pi nicht versorgt – prüfen</t>
  </si>
  <si>
    <t xml:space="preserve">Sensorik</t>
  </si>
  <si>
    <t xml:space="preserve">IMX296 Kamera-Modul mit ext. Trigger</t>
  </si>
  <si>
    <t xml:space="preserve">39x39 mm, M12-Halter</t>
  </si>
  <si>
    <t xml:space="preserve">M12-Objektiv 2,8 mm (ZH3019-14)</t>
  </si>
  <si>
    <t xml:space="preserve">F2.2, 1/2.7"</t>
  </si>
  <si>
    <t xml:space="preserve">CSI-Kabel Pi 5 (22-pol auf 15-pol), ca. 200 mm</t>
  </si>
  <si>
    <t xml:space="preserve">Kamera -&gt; Pi 5 CAM0/CAM1</t>
  </si>
  <si>
    <t xml:space="preserve">Trigger-Verteilerplatine</t>
  </si>
  <si>
    <t xml:space="preserve">Eigenbau, 20x22 mm</t>
  </si>
  <si>
    <t xml:space="preserve">Mikroschalter D2F (oder ähnlich)</t>
  </si>
  <si>
    <t xml:space="preserve">Fußkontakt; Maße im Bein-Makro (sw_*) anpassen</t>
  </si>
  <si>
    <t xml:space="preserve">Energie</t>
  </si>
  <si>
    <t xml:space="preserve">LiPo ZEEE 3S 9000 mAh</t>
  </si>
  <si>
    <t xml:space="preserve">ca. 170x50x32 mm, XT60</t>
  </si>
  <si>
    <t xml:space="preserve">BMS 3S (Daly 12 V 60 A oder 30–40 A)</t>
  </si>
  <si>
    <t xml:space="preserve">kleineres BMS reicht (Mittel ~10 A, Spitzen 20–30 A)</t>
  </si>
  <si>
    <t xml:space="preserve">Flachsicherung 30–40 A + Halter</t>
  </si>
  <si>
    <t xml:space="preserve">direkt am Akku</t>
  </si>
  <si>
    <t xml:space="preserve">Relaismodul 8-Kanal</t>
  </si>
  <si>
    <t xml:space="preserve">oder kleineres 2–4-Kanal-Modul</t>
  </si>
  <si>
    <t xml:space="preserve">XT60 Stecker/Buchse (Paar)</t>
  </si>
  <si>
    <t xml:space="preserve">Litze AWG20 rot/schwarz (m)</t>
  </si>
  <si>
    <t xml:space="preserve">Stromschienen je Seite</t>
  </si>
  <si>
    <t xml:space="preserve">Verdrahtung</t>
  </si>
  <si>
    <t xml:space="preserve">Verteilerplatine je Bein (Lochraster, XH2.54)</t>
  </si>
  <si>
    <t xml:space="preserve">Eigenbau</t>
  </si>
  <si>
    <t xml:space="preserve">JST-XH 2,54 Steckverbinder-Sortiment</t>
  </si>
  <si>
    <t xml:space="preserve">SN74LVC1G125 (Puffer)</t>
  </si>
  <si>
    <t xml:space="preserve">DATA-Bus H5/H6</t>
  </si>
  <si>
    <t xml:space="preserve">Diode 1N4148</t>
  </si>
  <si>
    <t xml:space="preserve">Abschaltschaltung Pi</t>
  </si>
  <si>
    <t xml:space="preserve">Dupont-Kabel (Trigger/Strobe)</t>
  </si>
  <si>
    <t xml:space="preserve">Kameras &lt;-&gt; Trigger-Platine</t>
  </si>
  <si>
    <t xml:space="preserve">Verbindung</t>
  </si>
  <si>
    <t xml:space="preserve">Zylinderschraube M3x8 (ISO 7380/4762)</t>
  </si>
  <si>
    <t xml:space="preserve">Gabelwange oben -&gt; Horn, 4 je Gelenk; NICHT länger (Servogehäuse)</t>
  </si>
  <si>
    <t xml:space="preserve">Zylinderschraube M3x6</t>
  </si>
  <si>
    <t xml:space="preserve">Gabelwange unten -&gt; Rückscheibe, 4 je Gelenk; nicht länger</t>
  </si>
  <si>
    <t xml:space="preserve">Blechschraube 2x5 (beiliegend bei ST3215)</t>
  </si>
  <si>
    <t xml:space="preserve">Coxa 4 je Servo (Platten), Bein-Servos 2 je Servo</t>
  </si>
  <si>
    <t xml:space="preserve">Zylinderschraube M3x45</t>
  </si>
  <si>
    <t xml:space="preserve">Säulen obere/untere Platte</t>
  </si>
  <si>
    <t xml:space="preserve">Zylinderschraube M3x10</t>
  </si>
  <si>
    <t xml:space="preserve">Plattenstoß, 4 je Platte</t>
  </si>
  <si>
    <t xml:space="preserve">Sicherungsmutter M3 (Nylonring)</t>
  </si>
  <si>
    <t xml:space="preserve">Säulen + Stoß + Relais</t>
  </si>
  <si>
    <t xml:space="preserve">Zylinderschraube M3x14</t>
  </si>
  <si>
    <t xml:space="preserve">Relais auf 5-mm-Bolzen (alternativ M2x14)</t>
  </si>
  <si>
    <t xml:space="preserve">Zylinderschraube M2x6</t>
  </si>
  <si>
    <t xml:space="preserve">Kamera-Platinen, direkt ins 1,7-mm-Kernloch</t>
  </si>
  <si>
    <t xml:space="preserve">Zylinderschraube M2x25 + Mutter</t>
  </si>
  <si>
    <t xml:space="preserve">Kamerahalter-Laschen durch Sockel + Platte</t>
  </si>
  <si>
    <t xml:space="preserve">Distanzbolzen M2,5x6 (Innen/Innen)</t>
  </si>
  <si>
    <t xml:space="preserve">Pi 5 (M2 geht mit Scheiben)</t>
  </si>
  <si>
    <t xml:space="preserve">Distanzbolzen M2,5x12 (Innen/Innen)</t>
  </si>
  <si>
    <t xml:space="preserve">Treiberboard (Stiftleiste unten 9,4 mm)</t>
  </si>
  <si>
    <t xml:space="preserve">Zylinderschraube M2,5x5</t>
  </si>
  <si>
    <t xml:space="preserve">für die Distanzbolzen, je 2</t>
  </si>
  <si>
    <t xml:space="preserve">Kunststoff-Unterlegscheiben M2/M2,5/M3 (Sortiment)</t>
  </si>
  <si>
    <t xml:space="preserve">Federstahldraht 1,2 mm (m)</t>
  </si>
  <si>
    <t xml:space="preserve">Haltestifte Mikroschalter, bündig abknipsen</t>
  </si>
  <si>
    <t xml:space="preserve">Kleinteile</t>
  </si>
  <si>
    <t xml:space="preserve">Kabelbinder 2,5 mm</t>
  </si>
  <si>
    <t xml:space="preserve">Kabelösen Femur/Tibia</t>
  </si>
  <si>
    <t xml:space="preserve">Klettband 20 mm (m)</t>
  </si>
  <si>
    <t xml:space="preserve">Batterie 2 Gurte, BMS 1 Gurt</t>
  </si>
  <si>
    <t xml:space="preserve">Doppelseitiges Klebeband</t>
  </si>
  <si>
    <t xml:space="preserve">Trigger-Platine</t>
  </si>
  <si>
    <t xml:space="preserve">2K-Epoxid oder Sekundenkleber + Primer</t>
  </si>
  <si>
    <t xml:space="preserve">Zierleisten</t>
  </si>
  <si>
    <t xml:space="preserve">Filament</t>
  </si>
  <si>
    <t xml:space="preserve">PETG schwarz (kg)</t>
  </si>
  <si>
    <t xml:space="preserve">siehe Blatt Druckteile; inkl. Probedrucke</t>
  </si>
  <si>
    <t xml:space="preserve">TPU 95A (kg)</t>
  </si>
  <si>
    <t xml:space="preserve">Füße</t>
  </si>
  <si>
    <t xml:space="preserve">PLA orange (kg)</t>
  </si>
  <si>
    <t xml:space="preserve">Summe</t>
  </si>
  <si>
    <t xml:space="preserve">Preise erfasst</t>
  </si>
  <si>
    <t xml:space="preserve">Makro / Objekt</t>
  </si>
  <si>
    <t xml:space="preserve">Material</t>
  </si>
  <si>
    <t xml:space="preserve">Anzahl</t>
  </si>
  <si>
    <t xml:space="preserve">Volumen je Teil (cm³)</t>
  </si>
  <si>
    <t xml:space="preserve">Dichte (g/cm³)</t>
  </si>
  <si>
    <t xml:space="preserve">Masse massiv je Teil (g)</t>
  </si>
  <si>
    <t xml:space="preserve">Füllfaktor</t>
  </si>
  <si>
    <t xml:space="preserve">Masse gedruckt gesamt (g)</t>
  </si>
  <si>
    <t xml:space="preserve">Füllung (Cura)</t>
  </si>
  <si>
    <t xml:space="preserve">Druckausrichtung / Hinweis</t>
  </si>
  <si>
    <t xml:space="preserve">Coxa rechts</t>
  </si>
  <si>
    <t xml:space="preserve">Bein-Makro, Coxa_Part</t>
  </si>
  <si>
    <t xml:space="preserve">PETG</t>
  </si>
  <si>
    <t xml:space="preserve">50 % Gyroid</t>
  </si>
  <si>
    <t xml:space="preserve">Gelenkachse senkrecht, Tree Support</t>
  </si>
  <si>
    <t xml:space="preserve">Coxa links (gespiegelt)</t>
  </si>
  <si>
    <t xml:space="preserve">MIRROR = True oder in Cura spiegeln</t>
  </si>
  <si>
    <t xml:space="preserve">wie rechts</t>
  </si>
  <si>
    <t xml:space="preserve">Femur rechts</t>
  </si>
  <si>
    <t xml:space="preserve">Femur_Part</t>
  </si>
  <si>
    <t xml:space="preserve">40 % Gyroid</t>
  </si>
  <si>
    <t xml:space="preserve">Femur links (gespiegelt)</t>
  </si>
  <si>
    <t xml:space="preserve">Femur_Part, gespiegelt</t>
  </si>
  <si>
    <t xml:space="preserve">Tibia rechts</t>
  </si>
  <si>
    <t xml:space="preserve">Tibia_Part</t>
  </si>
  <si>
    <t xml:space="preserve">Tibia links (gespiegelt)</t>
  </si>
  <si>
    <t xml:space="preserve">Tibia_Part, gespiegelt</t>
  </si>
  <si>
    <t xml:space="preserve">Fuß</t>
  </si>
  <si>
    <t xml:space="preserve">Foot_TPU</t>
  </si>
  <si>
    <t xml:space="preserve">TPU 95A</t>
  </si>
  <si>
    <t xml:space="preserve">20–25 % Gyroid, 5 Wände</t>
  </si>
  <si>
    <t xml:space="preserve">Öffnung nach unten, ohne Stützen</t>
  </si>
  <si>
    <t xml:space="preserve">Zierleiste Femur</t>
  </si>
  <si>
    <t xml:space="preserve">Deco_Femur_A/B</t>
  </si>
  <si>
    <t xml:space="preserve">PLA</t>
  </si>
  <si>
    <t xml:space="preserve">20 %</t>
  </si>
  <si>
    <t xml:space="preserve">flach</t>
  </si>
  <si>
    <t xml:space="preserve">Zierleiste Tibia</t>
  </si>
  <si>
    <t xml:space="preserve">Deco_Tibia_A/B</t>
  </si>
  <si>
    <t xml:space="preserve">Baseplate oben vorn</t>
  </si>
  <si>
    <t xml:space="preserve">Baseplate_Top_Front</t>
  </si>
  <si>
    <t xml:space="preserve">30 % Gyroid</t>
  </si>
  <si>
    <t xml:space="preserve">Unterseite aufs Bett, Brim 5 mm</t>
  </si>
  <si>
    <t xml:space="preserve">Baseplate oben hinten</t>
  </si>
  <si>
    <t xml:space="preserve">Baseplate_Top_Rear</t>
  </si>
  <si>
    <t xml:space="preserve">kopfüber drucken (Stoßzunge oben)</t>
  </si>
  <si>
    <t xml:space="preserve">Baseplate unten vorn</t>
  </si>
  <si>
    <t xml:space="preserve">Baseplate_Bottom_Front</t>
  </si>
  <si>
    <t xml:space="preserve">Unterseite aufs Bett</t>
  </si>
  <si>
    <t xml:space="preserve">Baseplate unten hinten</t>
  </si>
  <si>
    <t xml:space="preserve">Baseplate_Bottom_Rear</t>
  </si>
  <si>
    <t xml:space="preserve">Stoßzunge braucht flache Stütze</t>
  </si>
  <si>
    <t xml:space="preserve">Kamerahalter</t>
  </si>
  <si>
    <t xml:space="preserve">Stereo-Makro V1.3 / Stereo_Mount</t>
  </si>
  <si>
    <t xml:space="preserve">30 %</t>
  </si>
  <si>
    <t xml:space="preserve">Frontfläche aufs Bett</t>
  </si>
  <si>
    <t xml:space="preserve">Summe nach Material</t>
  </si>
  <si>
    <t xml:space="preserve">g gesamt</t>
  </si>
  <si>
    <t xml:space="preserve">Alle Druckteile</t>
  </si>
  <si>
    <t xml:space="preserve">Baugruppe</t>
  </si>
  <si>
    <t xml:space="preserve">Masse (g)</t>
  </si>
  <si>
    <t xml:space="preserve">Quelle / Annahme</t>
  </si>
  <si>
    <t xml:space="preserve">Gedruckte Teile</t>
  </si>
  <si>
    <t xml:space="preserve">Blatt Druckteile</t>
  </si>
  <si>
    <t xml:space="preserve">Servos ST3215</t>
  </si>
  <si>
    <t xml:space="preserve">18 x ca. 55 g (Annahme, bitte wiegen)</t>
  </si>
  <si>
    <t xml:space="preserve">Akku 3S 9000 mAh</t>
  </si>
  <si>
    <t xml:space="preserve">Annahme, bitte wiegen</t>
  </si>
  <si>
    <t xml:space="preserve">Elektronik (Pi+Hailo+Kühler, Treiber, Kameras, Relais, BMS)</t>
  </si>
  <si>
    <t xml:space="preserve">Annahme</t>
  </si>
  <si>
    <t xml:space="preserve">Kabel, Schrauben, Kleinteile</t>
  </si>
  <si>
    <t xml:space="preserve">Gesamt</t>
  </si>
  <si>
    <t xml:space="preserve">Sim rechnet bisher mit 2.580 g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</si>
</sst>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"/>
    <numFmt numFmtId="166" formatCode="#,##0.00&quot; €&quot;;\-#,##0.00&quot; €&quot;;\-"/>
    <numFmt numFmtId="167" formatCode="0.0"/>
    <numFmt numFmtId="168" formatCode="0"/>
    <numFmt numFmtId="169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B3"/>
        <bgColor rgb="FFFFFF99"/>
      </patternFill>
    </fill>
    <fill>
      <patternFill patternType="solid">
        <fgColor rgb="FF2B2D33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B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D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3"/>
    </row>
    <row r="3" customFormat="false" ht="15" hidden="false" customHeight="false" outlineLevel="0" collapsed="false">
      <c r="A3" s="4" t="s">
        <v>1</v>
      </c>
      <c r="B3" s="3" t="s">
        <v>2</v>
      </c>
    </row>
    <row r="4" customFormat="false" ht="15" hidden="false" customHeight="false" outlineLevel="0" collapsed="false">
      <c r="A4" s="5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/>
      <c r="B6" s="3"/>
    </row>
    <row r="7" customFormat="false" ht="15" hidden="false" customHeight="false" outlineLevel="0" collapsed="false">
      <c r="A7" s="2" t="s">
        <v>7</v>
      </c>
      <c r="B7" s="3" t="s">
        <v>8</v>
      </c>
    </row>
    <row r="8" customFormat="false" ht="15" hidden="false" customHeight="false" outlineLevel="0" collapsed="false">
      <c r="A8" s="2" t="s">
        <v>9</v>
      </c>
      <c r="B8" s="3" t="s">
        <v>10</v>
      </c>
    </row>
    <row r="9" customFormat="false" ht="15" hidden="false" customHeight="false" outlineLevel="0" collapsed="false">
      <c r="A9" s="2" t="s">
        <v>11</v>
      </c>
      <c r="B9" s="3" t="s">
        <v>12</v>
      </c>
    </row>
    <row r="10" customFormat="false" ht="15" hidden="false" customHeight="false" outlineLevel="0" collapsed="false">
      <c r="A10" s="2" t="s">
        <v>13</v>
      </c>
      <c r="B10" s="3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44"/>
    <col collapsed="false" customWidth="true" hidden="false" outlineLevel="0" max="4" min="4" style="0" width="62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10" min="9" style="0" width="12"/>
    <col collapsed="false" customWidth="true" hidden="false" outlineLevel="0" max="11" min="11" style="0" width="20"/>
  </cols>
  <sheetData>
    <row r="1" customFormat="false" ht="30" hidden="false" customHeight="true" outlineLevel="0" collapsed="false">
      <c r="A1" s="6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6" t="s">
        <v>21</v>
      </c>
      <c r="H1" s="6" t="s">
        <v>22</v>
      </c>
      <c r="I1" s="6" t="s">
        <v>23</v>
      </c>
      <c r="J1" s="6" t="s">
        <v>24</v>
      </c>
      <c r="K1" s="6" t="s">
        <v>25</v>
      </c>
    </row>
    <row r="2" customFormat="false" ht="15" hidden="false" customHeight="false" outlineLevel="0" collapsed="false">
      <c r="A2" s="3" t="n">
        <v>1</v>
      </c>
      <c r="B2" s="3" t="s">
        <v>26</v>
      </c>
      <c r="C2" s="3" t="s">
        <v>27</v>
      </c>
      <c r="D2" s="3" t="s">
        <v>28</v>
      </c>
      <c r="E2" s="7" t="n">
        <v>18</v>
      </c>
      <c r="F2" s="7" t="n">
        <v>2</v>
      </c>
      <c r="G2" s="3" t="n">
        <f aca="false">E2+F2</f>
        <v>20</v>
      </c>
      <c r="H2" s="8"/>
      <c r="I2" s="9" t="str">
        <f aca="false">IF(H2="","",G2*H2)</f>
        <v/>
      </c>
      <c r="J2" s="10"/>
      <c r="K2" s="10"/>
    </row>
    <row r="3" customFormat="false" ht="15" hidden="false" customHeight="false" outlineLevel="0" collapsed="false">
      <c r="A3" s="3" t="n">
        <v>2</v>
      </c>
      <c r="B3" s="3" t="s">
        <v>29</v>
      </c>
      <c r="C3" s="3" t="s">
        <v>30</v>
      </c>
      <c r="D3" s="3" t="s">
        <v>31</v>
      </c>
      <c r="E3" s="7" t="n">
        <v>1</v>
      </c>
      <c r="F3" s="7" t="n">
        <v>0</v>
      </c>
      <c r="G3" s="3" t="n">
        <f aca="false">E3+F3</f>
        <v>1</v>
      </c>
      <c r="H3" s="8"/>
      <c r="I3" s="9" t="str">
        <f aca="false">IF(H3="","",G3*H3)</f>
        <v/>
      </c>
      <c r="J3" s="10"/>
      <c r="K3" s="10"/>
    </row>
    <row r="4" customFormat="false" ht="15" hidden="false" customHeight="false" outlineLevel="0" collapsed="false">
      <c r="A4" s="3" t="n">
        <v>3</v>
      </c>
      <c r="B4" s="3" t="s">
        <v>29</v>
      </c>
      <c r="C4" s="3" t="s">
        <v>32</v>
      </c>
      <c r="D4" s="3" t="s">
        <v>33</v>
      </c>
      <c r="E4" s="7" t="n">
        <v>1</v>
      </c>
      <c r="F4" s="7" t="n">
        <v>0</v>
      </c>
      <c r="G4" s="3" t="n">
        <f aca="false">E4+F4</f>
        <v>1</v>
      </c>
      <c r="H4" s="8"/>
      <c r="I4" s="9" t="str">
        <f aca="false">IF(H4="","",G4*H4)</f>
        <v/>
      </c>
      <c r="J4" s="10"/>
      <c r="K4" s="10"/>
    </row>
    <row r="5" customFormat="false" ht="15" hidden="false" customHeight="false" outlineLevel="0" collapsed="false">
      <c r="A5" s="3" t="n">
        <v>4</v>
      </c>
      <c r="B5" s="3" t="s">
        <v>29</v>
      </c>
      <c r="C5" s="3" t="s">
        <v>34</v>
      </c>
      <c r="D5" s="3" t="s">
        <v>35</v>
      </c>
      <c r="E5" s="7" t="n">
        <v>1</v>
      </c>
      <c r="F5" s="7" t="n">
        <v>0</v>
      </c>
      <c r="G5" s="3" t="n">
        <f aca="false">E5+F5</f>
        <v>1</v>
      </c>
      <c r="H5" s="8"/>
      <c r="I5" s="9" t="str">
        <f aca="false">IF(H5="","",G5*H5)</f>
        <v/>
      </c>
      <c r="J5" s="10"/>
      <c r="K5" s="10"/>
    </row>
    <row r="6" customFormat="false" ht="15" hidden="false" customHeight="false" outlineLevel="0" collapsed="false">
      <c r="A6" s="3" t="n">
        <v>5</v>
      </c>
      <c r="B6" s="3" t="s">
        <v>29</v>
      </c>
      <c r="C6" s="3" t="s">
        <v>36</v>
      </c>
      <c r="D6" s="3" t="s">
        <v>37</v>
      </c>
      <c r="E6" s="7" t="n">
        <v>1</v>
      </c>
      <c r="F6" s="7" t="n">
        <v>0</v>
      </c>
      <c r="G6" s="3" t="n">
        <f aca="false">E6+F6</f>
        <v>1</v>
      </c>
      <c r="H6" s="8"/>
      <c r="I6" s="9" t="str">
        <f aca="false">IF(H6="","",G6*H6)</f>
        <v/>
      </c>
      <c r="J6" s="10"/>
      <c r="K6" s="10"/>
    </row>
    <row r="7" customFormat="false" ht="15" hidden="false" customHeight="false" outlineLevel="0" collapsed="false">
      <c r="A7" s="3" t="n">
        <v>6</v>
      </c>
      <c r="B7" s="3" t="s">
        <v>29</v>
      </c>
      <c r="C7" s="3" t="s">
        <v>38</v>
      </c>
      <c r="D7" s="3" t="s">
        <v>39</v>
      </c>
      <c r="E7" s="7" t="n">
        <v>1</v>
      </c>
      <c r="F7" s="7" t="n">
        <v>0</v>
      </c>
      <c r="G7" s="3" t="n">
        <f aca="false">E7+F7</f>
        <v>1</v>
      </c>
      <c r="H7" s="8"/>
      <c r="I7" s="9" t="str">
        <f aca="false">IF(H7="","",G7*H7)</f>
        <v/>
      </c>
      <c r="J7" s="10"/>
      <c r="K7" s="10"/>
    </row>
    <row r="8" customFormat="false" ht="15" hidden="false" customHeight="false" outlineLevel="0" collapsed="false">
      <c r="A8" s="3" t="n">
        <v>7</v>
      </c>
      <c r="B8" s="3" t="s">
        <v>40</v>
      </c>
      <c r="C8" s="3" t="s">
        <v>41</v>
      </c>
      <c r="D8" s="3" t="s">
        <v>42</v>
      </c>
      <c r="E8" s="7" t="n">
        <v>2</v>
      </c>
      <c r="F8" s="7" t="n">
        <v>0</v>
      </c>
      <c r="G8" s="3" t="n">
        <f aca="false">E8+F8</f>
        <v>2</v>
      </c>
      <c r="H8" s="8"/>
      <c r="I8" s="9" t="str">
        <f aca="false">IF(H8="","",G8*H8)</f>
        <v/>
      </c>
      <c r="J8" s="10"/>
      <c r="K8" s="10"/>
    </row>
    <row r="9" customFormat="false" ht="15" hidden="false" customHeight="false" outlineLevel="0" collapsed="false">
      <c r="A9" s="3" t="n">
        <v>8</v>
      </c>
      <c r="B9" s="3" t="s">
        <v>40</v>
      </c>
      <c r="C9" s="3" t="s">
        <v>43</v>
      </c>
      <c r="D9" s="3" t="s">
        <v>44</v>
      </c>
      <c r="E9" s="7" t="n">
        <v>2</v>
      </c>
      <c r="F9" s="7" t="n">
        <v>0</v>
      </c>
      <c r="G9" s="3" t="n">
        <f aca="false">E9+F9</f>
        <v>2</v>
      </c>
      <c r="H9" s="8"/>
      <c r="I9" s="9" t="str">
        <f aca="false">IF(H9="","",G9*H9)</f>
        <v/>
      </c>
      <c r="J9" s="10"/>
      <c r="K9" s="10"/>
    </row>
    <row r="10" customFormat="false" ht="15" hidden="false" customHeight="false" outlineLevel="0" collapsed="false">
      <c r="A10" s="3" t="n">
        <v>9</v>
      </c>
      <c r="B10" s="3" t="s">
        <v>40</v>
      </c>
      <c r="C10" s="3" t="s">
        <v>45</v>
      </c>
      <c r="D10" s="3" t="s">
        <v>46</v>
      </c>
      <c r="E10" s="7" t="n">
        <v>2</v>
      </c>
      <c r="F10" s="7" t="n">
        <v>0</v>
      </c>
      <c r="G10" s="3" t="n">
        <f aca="false">E10+F10</f>
        <v>2</v>
      </c>
      <c r="H10" s="8"/>
      <c r="I10" s="9" t="str">
        <f aca="false">IF(H10="","",G10*H10)</f>
        <v/>
      </c>
      <c r="J10" s="10"/>
      <c r="K10" s="10"/>
    </row>
    <row r="11" customFormat="false" ht="15" hidden="false" customHeight="false" outlineLevel="0" collapsed="false">
      <c r="A11" s="3" t="n">
        <v>10</v>
      </c>
      <c r="B11" s="3" t="s">
        <v>40</v>
      </c>
      <c r="C11" s="3" t="s">
        <v>47</v>
      </c>
      <c r="D11" s="3" t="s">
        <v>48</v>
      </c>
      <c r="E11" s="7" t="n">
        <v>1</v>
      </c>
      <c r="F11" s="7" t="n">
        <v>0</v>
      </c>
      <c r="G11" s="3" t="n">
        <f aca="false">E11+F11</f>
        <v>1</v>
      </c>
      <c r="H11" s="8"/>
      <c r="I11" s="9" t="str">
        <f aca="false">IF(H11="","",G11*H11)</f>
        <v/>
      </c>
      <c r="J11" s="10"/>
      <c r="K11" s="10"/>
    </row>
    <row r="12" customFormat="false" ht="15" hidden="false" customHeight="false" outlineLevel="0" collapsed="false">
      <c r="A12" s="3" t="n">
        <v>11</v>
      </c>
      <c r="B12" s="3" t="s">
        <v>40</v>
      </c>
      <c r="C12" s="3" t="s">
        <v>49</v>
      </c>
      <c r="D12" s="3" t="s">
        <v>50</v>
      </c>
      <c r="E12" s="7" t="n">
        <v>6</v>
      </c>
      <c r="F12" s="7" t="n">
        <v>2</v>
      </c>
      <c r="G12" s="3" t="n">
        <f aca="false">E12+F12</f>
        <v>8</v>
      </c>
      <c r="H12" s="8"/>
      <c r="I12" s="9" t="str">
        <f aca="false">IF(H12="","",G12*H12)</f>
        <v/>
      </c>
      <c r="J12" s="10"/>
      <c r="K12" s="10"/>
    </row>
    <row r="13" customFormat="false" ht="15" hidden="false" customHeight="false" outlineLevel="0" collapsed="false">
      <c r="A13" s="3" t="n">
        <v>12</v>
      </c>
      <c r="B13" s="3" t="s">
        <v>51</v>
      </c>
      <c r="C13" s="3" t="s">
        <v>52</v>
      </c>
      <c r="D13" s="3" t="s">
        <v>53</v>
      </c>
      <c r="E13" s="7" t="n">
        <v>1</v>
      </c>
      <c r="F13" s="7" t="n">
        <v>0</v>
      </c>
      <c r="G13" s="3" t="n">
        <f aca="false">E13+F13</f>
        <v>1</v>
      </c>
      <c r="H13" s="8"/>
      <c r="I13" s="9" t="str">
        <f aca="false">IF(H13="","",G13*H13)</f>
        <v/>
      </c>
      <c r="J13" s="10"/>
      <c r="K13" s="10"/>
    </row>
    <row r="14" customFormat="false" ht="15" hidden="false" customHeight="false" outlineLevel="0" collapsed="false">
      <c r="A14" s="3" t="n">
        <v>13</v>
      </c>
      <c r="B14" s="3" t="s">
        <v>51</v>
      </c>
      <c r="C14" s="3" t="s">
        <v>54</v>
      </c>
      <c r="D14" s="3" t="s">
        <v>55</v>
      </c>
      <c r="E14" s="7" t="n">
        <v>1</v>
      </c>
      <c r="F14" s="7" t="n">
        <v>0</v>
      </c>
      <c r="G14" s="3" t="n">
        <f aca="false">E14+F14</f>
        <v>1</v>
      </c>
      <c r="H14" s="8"/>
      <c r="I14" s="9" t="str">
        <f aca="false">IF(H14="","",G14*H14)</f>
        <v/>
      </c>
      <c r="J14" s="10"/>
      <c r="K14" s="10"/>
    </row>
    <row r="15" customFormat="false" ht="15" hidden="false" customHeight="false" outlineLevel="0" collapsed="false">
      <c r="A15" s="3" t="n">
        <v>14</v>
      </c>
      <c r="B15" s="3" t="s">
        <v>51</v>
      </c>
      <c r="C15" s="3" t="s">
        <v>56</v>
      </c>
      <c r="D15" s="3" t="s">
        <v>57</v>
      </c>
      <c r="E15" s="7" t="n">
        <v>1</v>
      </c>
      <c r="F15" s="7" t="n">
        <v>1</v>
      </c>
      <c r="G15" s="3" t="n">
        <f aca="false">E15+F15</f>
        <v>2</v>
      </c>
      <c r="H15" s="8"/>
      <c r="I15" s="9" t="str">
        <f aca="false">IF(H15="","",G15*H15)</f>
        <v/>
      </c>
      <c r="J15" s="10"/>
      <c r="K15" s="10"/>
    </row>
    <row r="16" customFormat="false" ht="15" hidden="false" customHeight="false" outlineLevel="0" collapsed="false">
      <c r="A16" s="3" t="n">
        <v>15</v>
      </c>
      <c r="B16" s="3" t="s">
        <v>51</v>
      </c>
      <c r="C16" s="3" t="s">
        <v>58</v>
      </c>
      <c r="D16" s="3" t="s">
        <v>59</v>
      </c>
      <c r="E16" s="7" t="n">
        <v>1</v>
      </c>
      <c r="F16" s="7" t="n">
        <v>0</v>
      </c>
      <c r="G16" s="3" t="n">
        <f aca="false">E16+F16</f>
        <v>1</v>
      </c>
      <c r="H16" s="8"/>
      <c r="I16" s="9" t="str">
        <f aca="false">IF(H16="","",G16*H16)</f>
        <v/>
      </c>
      <c r="J16" s="10"/>
      <c r="K16" s="10"/>
    </row>
    <row r="17" customFormat="false" ht="15" hidden="false" customHeight="false" outlineLevel="0" collapsed="false">
      <c r="A17" s="3" t="n">
        <v>16</v>
      </c>
      <c r="B17" s="3" t="s">
        <v>51</v>
      </c>
      <c r="C17" s="3" t="s">
        <v>60</v>
      </c>
      <c r="D17" s="3"/>
      <c r="E17" s="7" t="n">
        <v>2</v>
      </c>
      <c r="F17" s="7" t="n">
        <v>1</v>
      </c>
      <c r="G17" s="3" t="n">
        <f aca="false">E17+F17</f>
        <v>3</v>
      </c>
      <c r="H17" s="8"/>
      <c r="I17" s="9" t="str">
        <f aca="false">IF(H17="","",G17*H17)</f>
        <v/>
      </c>
      <c r="J17" s="10"/>
      <c r="K17" s="10"/>
    </row>
    <row r="18" customFormat="false" ht="15" hidden="false" customHeight="false" outlineLevel="0" collapsed="false">
      <c r="A18" s="3" t="n">
        <v>17</v>
      </c>
      <c r="B18" s="3" t="s">
        <v>51</v>
      </c>
      <c r="C18" s="3" t="s">
        <v>61</v>
      </c>
      <c r="D18" s="3" t="s">
        <v>62</v>
      </c>
      <c r="E18" s="7" t="n">
        <v>4</v>
      </c>
      <c r="F18" s="7" t="n">
        <v>1</v>
      </c>
      <c r="G18" s="3" t="n">
        <f aca="false">E18+F18</f>
        <v>5</v>
      </c>
      <c r="H18" s="8"/>
      <c r="I18" s="9" t="str">
        <f aca="false">IF(H18="","",G18*H18)</f>
        <v/>
      </c>
      <c r="J18" s="10"/>
      <c r="K18" s="10"/>
    </row>
    <row r="19" customFormat="false" ht="15" hidden="false" customHeight="false" outlineLevel="0" collapsed="false">
      <c r="A19" s="3" t="n">
        <v>18</v>
      </c>
      <c r="B19" s="3" t="s">
        <v>63</v>
      </c>
      <c r="C19" s="3" t="s">
        <v>64</v>
      </c>
      <c r="D19" s="3" t="s">
        <v>65</v>
      </c>
      <c r="E19" s="7" t="n">
        <v>6</v>
      </c>
      <c r="F19" s="7" t="n">
        <v>1</v>
      </c>
      <c r="G19" s="3" t="n">
        <f aca="false">E19+F19</f>
        <v>7</v>
      </c>
      <c r="H19" s="8"/>
      <c r="I19" s="9" t="str">
        <f aca="false">IF(H19="","",G19*H19)</f>
        <v/>
      </c>
      <c r="J19" s="10"/>
      <c r="K19" s="10"/>
    </row>
    <row r="20" customFormat="false" ht="15" hidden="false" customHeight="false" outlineLevel="0" collapsed="false">
      <c r="A20" s="3" t="n">
        <v>19</v>
      </c>
      <c r="B20" s="3" t="s">
        <v>63</v>
      </c>
      <c r="C20" s="3" t="s">
        <v>66</v>
      </c>
      <c r="D20" s="3"/>
      <c r="E20" s="7" t="n">
        <v>1</v>
      </c>
      <c r="F20" s="7" t="n">
        <v>0</v>
      </c>
      <c r="G20" s="3" t="n">
        <f aca="false">E20+F20</f>
        <v>1</v>
      </c>
      <c r="H20" s="8"/>
      <c r="I20" s="9" t="str">
        <f aca="false">IF(H20="","",G20*H20)</f>
        <v/>
      </c>
      <c r="J20" s="10"/>
      <c r="K20" s="10"/>
    </row>
    <row r="21" customFormat="false" ht="15" hidden="false" customHeight="false" outlineLevel="0" collapsed="false">
      <c r="A21" s="3" t="n">
        <v>20</v>
      </c>
      <c r="B21" s="3" t="s">
        <v>63</v>
      </c>
      <c r="C21" s="3" t="s">
        <v>67</v>
      </c>
      <c r="D21" s="3" t="s">
        <v>68</v>
      </c>
      <c r="E21" s="7" t="n">
        <v>1</v>
      </c>
      <c r="F21" s="7" t="n">
        <v>1</v>
      </c>
      <c r="G21" s="3" t="n">
        <f aca="false">E21+F21</f>
        <v>2</v>
      </c>
      <c r="H21" s="8"/>
      <c r="I21" s="9" t="str">
        <f aca="false">IF(H21="","",G21*H21)</f>
        <v/>
      </c>
      <c r="J21" s="10"/>
      <c r="K21" s="10"/>
    </row>
    <row r="22" customFormat="false" ht="15" hidden="false" customHeight="false" outlineLevel="0" collapsed="false">
      <c r="A22" s="3" t="n">
        <v>21</v>
      </c>
      <c r="B22" s="3" t="s">
        <v>63</v>
      </c>
      <c r="C22" s="3" t="s">
        <v>69</v>
      </c>
      <c r="D22" s="3" t="s">
        <v>70</v>
      </c>
      <c r="E22" s="7" t="n">
        <v>2</v>
      </c>
      <c r="F22" s="7" t="n">
        <v>2</v>
      </c>
      <c r="G22" s="3" t="n">
        <f aca="false">E22+F22</f>
        <v>4</v>
      </c>
      <c r="H22" s="8"/>
      <c r="I22" s="9" t="str">
        <f aca="false">IF(H22="","",G22*H22)</f>
        <v/>
      </c>
      <c r="J22" s="10"/>
      <c r="K22" s="10"/>
    </row>
    <row r="23" customFormat="false" ht="15" hidden="false" customHeight="false" outlineLevel="0" collapsed="false">
      <c r="A23" s="3" t="n">
        <v>22</v>
      </c>
      <c r="B23" s="3" t="s">
        <v>63</v>
      </c>
      <c r="C23" s="3" t="s">
        <v>71</v>
      </c>
      <c r="D23" s="3" t="s">
        <v>72</v>
      </c>
      <c r="E23" s="7" t="n">
        <v>4</v>
      </c>
      <c r="F23" s="7" t="n">
        <v>2</v>
      </c>
      <c r="G23" s="3" t="n">
        <f aca="false">E23+F23</f>
        <v>6</v>
      </c>
      <c r="H23" s="8"/>
      <c r="I23" s="9" t="str">
        <f aca="false">IF(H23="","",G23*H23)</f>
        <v/>
      </c>
      <c r="J23" s="10"/>
      <c r="K23" s="10"/>
    </row>
    <row r="24" customFormat="false" ht="15" hidden="false" customHeight="false" outlineLevel="0" collapsed="false">
      <c r="A24" s="3" t="n">
        <v>23</v>
      </c>
      <c r="B24" s="3" t="s">
        <v>73</v>
      </c>
      <c r="C24" s="3" t="s">
        <v>74</v>
      </c>
      <c r="D24" s="3" t="s">
        <v>75</v>
      </c>
      <c r="E24" s="7" t="n">
        <v>72</v>
      </c>
      <c r="F24" s="7" t="n">
        <v>8</v>
      </c>
      <c r="G24" s="3" t="n">
        <f aca="false">E24+F24</f>
        <v>80</v>
      </c>
      <c r="H24" s="8"/>
      <c r="I24" s="9" t="str">
        <f aca="false">IF(H24="","",G24*H24)</f>
        <v/>
      </c>
      <c r="J24" s="10"/>
      <c r="K24" s="10"/>
    </row>
    <row r="25" customFormat="false" ht="15" hidden="false" customHeight="false" outlineLevel="0" collapsed="false">
      <c r="A25" s="3" t="n">
        <v>24</v>
      </c>
      <c r="B25" s="3" t="s">
        <v>73</v>
      </c>
      <c r="C25" s="3" t="s">
        <v>76</v>
      </c>
      <c r="D25" s="3" t="s">
        <v>77</v>
      </c>
      <c r="E25" s="7" t="n">
        <v>72</v>
      </c>
      <c r="F25" s="7" t="n">
        <v>8</v>
      </c>
      <c r="G25" s="3" t="n">
        <f aca="false">E25+F25</f>
        <v>80</v>
      </c>
      <c r="H25" s="8"/>
      <c r="I25" s="9" t="str">
        <f aca="false">IF(H25="","",G25*H25)</f>
        <v/>
      </c>
      <c r="J25" s="10"/>
      <c r="K25" s="10"/>
    </row>
    <row r="26" customFormat="false" ht="15" hidden="false" customHeight="false" outlineLevel="0" collapsed="false">
      <c r="A26" s="3" t="n">
        <v>25</v>
      </c>
      <c r="B26" s="3" t="s">
        <v>73</v>
      </c>
      <c r="C26" s="3" t="s">
        <v>78</v>
      </c>
      <c r="D26" s="3" t="s">
        <v>79</v>
      </c>
      <c r="E26" s="7" t="n">
        <v>48</v>
      </c>
      <c r="F26" s="7" t="n">
        <v>0</v>
      </c>
      <c r="G26" s="3" t="n">
        <f aca="false">E26+F26</f>
        <v>48</v>
      </c>
      <c r="H26" s="8"/>
      <c r="I26" s="9" t="str">
        <f aca="false">IF(H26="","",G26*H26)</f>
        <v/>
      </c>
      <c r="J26" s="10"/>
      <c r="K26" s="10"/>
    </row>
    <row r="27" customFormat="false" ht="15" hidden="false" customHeight="false" outlineLevel="0" collapsed="false">
      <c r="A27" s="3" t="n">
        <v>26</v>
      </c>
      <c r="B27" s="3" t="s">
        <v>73</v>
      </c>
      <c r="C27" s="3" t="s">
        <v>80</v>
      </c>
      <c r="D27" s="3" t="s">
        <v>81</v>
      </c>
      <c r="E27" s="7" t="n">
        <v>8</v>
      </c>
      <c r="F27" s="7" t="n">
        <v>1</v>
      </c>
      <c r="G27" s="3" t="n">
        <f aca="false">E27+F27</f>
        <v>9</v>
      </c>
      <c r="H27" s="8"/>
      <c r="I27" s="9" t="str">
        <f aca="false">IF(H27="","",G27*H27)</f>
        <v/>
      </c>
      <c r="J27" s="10"/>
      <c r="K27" s="10"/>
    </row>
    <row r="28" customFormat="false" ht="15" hidden="false" customHeight="false" outlineLevel="0" collapsed="false">
      <c r="A28" s="3" t="n">
        <v>27</v>
      </c>
      <c r="B28" s="3" t="s">
        <v>73</v>
      </c>
      <c r="C28" s="3" t="s">
        <v>82</v>
      </c>
      <c r="D28" s="3" t="s">
        <v>83</v>
      </c>
      <c r="E28" s="7" t="n">
        <v>8</v>
      </c>
      <c r="F28" s="7" t="n">
        <v>2</v>
      </c>
      <c r="G28" s="3" t="n">
        <f aca="false">E28+F28</f>
        <v>10</v>
      </c>
      <c r="H28" s="8"/>
      <c r="I28" s="9" t="str">
        <f aca="false">IF(H28="","",G28*H28)</f>
        <v/>
      </c>
      <c r="J28" s="10"/>
      <c r="K28" s="10"/>
    </row>
    <row r="29" customFormat="false" ht="15" hidden="false" customHeight="false" outlineLevel="0" collapsed="false">
      <c r="A29" s="3" t="n">
        <v>28</v>
      </c>
      <c r="B29" s="3" t="s">
        <v>73</v>
      </c>
      <c r="C29" s="3" t="s">
        <v>84</v>
      </c>
      <c r="D29" s="3" t="s">
        <v>85</v>
      </c>
      <c r="E29" s="7" t="n">
        <v>20</v>
      </c>
      <c r="F29" s="7" t="n">
        <v>4</v>
      </c>
      <c r="G29" s="3" t="n">
        <f aca="false">E29+F29</f>
        <v>24</v>
      </c>
      <c r="H29" s="8"/>
      <c r="I29" s="9" t="str">
        <f aca="false">IF(H29="","",G29*H29)</f>
        <v/>
      </c>
      <c r="J29" s="10"/>
      <c r="K29" s="10"/>
    </row>
    <row r="30" customFormat="false" ht="15" hidden="false" customHeight="false" outlineLevel="0" collapsed="false">
      <c r="A30" s="3" t="n">
        <v>29</v>
      </c>
      <c r="B30" s="3" t="s">
        <v>73</v>
      </c>
      <c r="C30" s="3" t="s">
        <v>86</v>
      </c>
      <c r="D30" s="3" t="s">
        <v>87</v>
      </c>
      <c r="E30" s="7" t="n">
        <v>4</v>
      </c>
      <c r="F30" s="7" t="n">
        <v>0</v>
      </c>
      <c r="G30" s="3" t="n">
        <f aca="false">E30+F30</f>
        <v>4</v>
      </c>
      <c r="H30" s="8"/>
      <c r="I30" s="9" t="str">
        <f aca="false">IF(H30="","",G30*H30)</f>
        <v/>
      </c>
      <c r="J30" s="10"/>
      <c r="K30" s="10"/>
    </row>
    <row r="31" customFormat="false" ht="15" hidden="false" customHeight="false" outlineLevel="0" collapsed="false">
      <c r="A31" s="3" t="n">
        <v>30</v>
      </c>
      <c r="B31" s="3" t="s">
        <v>73</v>
      </c>
      <c r="C31" s="3" t="s">
        <v>88</v>
      </c>
      <c r="D31" s="3" t="s">
        <v>89</v>
      </c>
      <c r="E31" s="7" t="n">
        <v>8</v>
      </c>
      <c r="F31" s="7" t="n">
        <v>2</v>
      </c>
      <c r="G31" s="3" t="n">
        <f aca="false">E31+F31</f>
        <v>10</v>
      </c>
      <c r="H31" s="8"/>
      <c r="I31" s="9" t="str">
        <f aca="false">IF(H31="","",G31*H31)</f>
        <v/>
      </c>
      <c r="J31" s="10"/>
      <c r="K31" s="10"/>
    </row>
    <row r="32" customFormat="false" ht="15" hidden="false" customHeight="false" outlineLevel="0" collapsed="false">
      <c r="A32" s="3" t="n">
        <v>31</v>
      </c>
      <c r="B32" s="3" t="s">
        <v>73</v>
      </c>
      <c r="C32" s="3" t="s">
        <v>90</v>
      </c>
      <c r="D32" s="3" t="s">
        <v>91</v>
      </c>
      <c r="E32" s="7" t="n">
        <v>2</v>
      </c>
      <c r="F32" s="7" t="n">
        <v>1</v>
      </c>
      <c r="G32" s="3" t="n">
        <f aca="false">E32+F32</f>
        <v>3</v>
      </c>
      <c r="H32" s="8"/>
      <c r="I32" s="9" t="str">
        <f aca="false">IF(H32="","",G32*H32)</f>
        <v/>
      </c>
      <c r="J32" s="10"/>
      <c r="K32" s="10"/>
    </row>
    <row r="33" customFormat="false" ht="15" hidden="false" customHeight="false" outlineLevel="0" collapsed="false">
      <c r="A33" s="3" t="n">
        <v>32</v>
      </c>
      <c r="B33" s="3" t="s">
        <v>73</v>
      </c>
      <c r="C33" s="3" t="s">
        <v>92</v>
      </c>
      <c r="D33" s="3" t="s">
        <v>93</v>
      </c>
      <c r="E33" s="7" t="n">
        <v>4</v>
      </c>
      <c r="F33" s="7" t="n">
        <v>0</v>
      </c>
      <c r="G33" s="3" t="n">
        <f aca="false">E33+F33</f>
        <v>4</v>
      </c>
      <c r="H33" s="8"/>
      <c r="I33" s="9" t="str">
        <f aca="false">IF(H33="","",G33*H33)</f>
        <v/>
      </c>
      <c r="J33" s="10"/>
      <c r="K33" s="10"/>
    </row>
    <row r="34" customFormat="false" ht="15" hidden="false" customHeight="false" outlineLevel="0" collapsed="false">
      <c r="A34" s="3" t="n">
        <v>33</v>
      </c>
      <c r="B34" s="3" t="s">
        <v>73</v>
      </c>
      <c r="C34" s="3" t="s">
        <v>94</v>
      </c>
      <c r="D34" s="3" t="s">
        <v>95</v>
      </c>
      <c r="E34" s="7" t="n">
        <v>4</v>
      </c>
      <c r="F34" s="7" t="n">
        <v>0</v>
      </c>
      <c r="G34" s="3" t="n">
        <f aca="false">E34+F34</f>
        <v>4</v>
      </c>
      <c r="H34" s="8"/>
      <c r="I34" s="9" t="str">
        <f aca="false">IF(H34="","",G34*H34)</f>
        <v/>
      </c>
      <c r="J34" s="10"/>
      <c r="K34" s="10"/>
    </row>
    <row r="35" customFormat="false" ht="15" hidden="false" customHeight="false" outlineLevel="0" collapsed="false">
      <c r="A35" s="3" t="n">
        <v>34</v>
      </c>
      <c r="B35" s="3" t="s">
        <v>73</v>
      </c>
      <c r="C35" s="3" t="s">
        <v>96</v>
      </c>
      <c r="D35" s="3" t="s">
        <v>97</v>
      </c>
      <c r="E35" s="7" t="n">
        <v>16</v>
      </c>
      <c r="F35" s="7" t="n">
        <v>2</v>
      </c>
      <c r="G35" s="3" t="n">
        <f aca="false">E35+F35</f>
        <v>18</v>
      </c>
      <c r="H35" s="8"/>
      <c r="I35" s="9" t="str">
        <f aca="false">IF(H35="","",G35*H35)</f>
        <v/>
      </c>
      <c r="J35" s="10"/>
      <c r="K35" s="10"/>
    </row>
    <row r="36" customFormat="false" ht="15" hidden="false" customHeight="false" outlineLevel="0" collapsed="false">
      <c r="A36" s="3" t="n">
        <v>35</v>
      </c>
      <c r="B36" s="3" t="s">
        <v>73</v>
      </c>
      <c r="C36" s="3" t="s">
        <v>98</v>
      </c>
      <c r="D36" s="3"/>
      <c r="E36" s="7" t="n">
        <v>1</v>
      </c>
      <c r="F36" s="7" t="n">
        <v>0</v>
      </c>
      <c r="G36" s="3" t="n">
        <f aca="false">E36+F36</f>
        <v>1</v>
      </c>
      <c r="H36" s="8"/>
      <c r="I36" s="9" t="str">
        <f aca="false">IF(H36="","",G36*H36)</f>
        <v/>
      </c>
      <c r="J36" s="10"/>
      <c r="K36" s="10"/>
    </row>
    <row r="37" customFormat="false" ht="15" hidden="false" customHeight="false" outlineLevel="0" collapsed="false">
      <c r="A37" s="3" t="n">
        <v>36</v>
      </c>
      <c r="B37" s="3" t="s">
        <v>73</v>
      </c>
      <c r="C37" s="3" t="s">
        <v>99</v>
      </c>
      <c r="D37" s="3" t="s">
        <v>100</v>
      </c>
      <c r="E37" s="7" t="n">
        <v>1</v>
      </c>
      <c r="F37" s="7" t="n">
        <v>0</v>
      </c>
      <c r="G37" s="3" t="n">
        <f aca="false">E37+F37</f>
        <v>1</v>
      </c>
      <c r="H37" s="8"/>
      <c r="I37" s="9" t="str">
        <f aca="false">IF(H37="","",G37*H37)</f>
        <v/>
      </c>
      <c r="J37" s="10"/>
      <c r="K37" s="10"/>
    </row>
    <row r="38" customFormat="false" ht="15" hidden="false" customHeight="false" outlineLevel="0" collapsed="false">
      <c r="A38" s="3" t="n">
        <v>37</v>
      </c>
      <c r="B38" s="3" t="s">
        <v>101</v>
      </c>
      <c r="C38" s="3" t="s">
        <v>102</v>
      </c>
      <c r="D38" s="3" t="s">
        <v>103</v>
      </c>
      <c r="E38" s="7" t="n">
        <v>50</v>
      </c>
      <c r="F38" s="7" t="n">
        <v>0</v>
      </c>
      <c r="G38" s="3" t="n">
        <f aca="false">E38+F38</f>
        <v>50</v>
      </c>
      <c r="H38" s="8"/>
      <c r="I38" s="9" t="str">
        <f aca="false">IF(H38="","",G38*H38)</f>
        <v/>
      </c>
      <c r="J38" s="10"/>
      <c r="K38" s="10"/>
    </row>
    <row r="39" customFormat="false" ht="15" hidden="false" customHeight="false" outlineLevel="0" collapsed="false">
      <c r="A39" s="3" t="n">
        <v>38</v>
      </c>
      <c r="B39" s="3" t="s">
        <v>101</v>
      </c>
      <c r="C39" s="3" t="s">
        <v>104</v>
      </c>
      <c r="D39" s="3" t="s">
        <v>105</v>
      </c>
      <c r="E39" s="7" t="n">
        <v>1</v>
      </c>
      <c r="F39" s="7" t="n">
        <v>0</v>
      </c>
      <c r="G39" s="3" t="n">
        <f aca="false">E39+F39</f>
        <v>1</v>
      </c>
      <c r="H39" s="8"/>
      <c r="I39" s="9" t="str">
        <f aca="false">IF(H39="","",G39*H39)</f>
        <v/>
      </c>
      <c r="J39" s="10"/>
      <c r="K39" s="10"/>
    </row>
    <row r="40" customFormat="false" ht="15" hidden="false" customHeight="false" outlineLevel="0" collapsed="false">
      <c r="A40" s="3" t="n">
        <v>39</v>
      </c>
      <c r="B40" s="3" t="s">
        <v>101</v>
      </c>
      <c r="C40" s="3" t="s">
        <v>106</v>
      </c>
      <c r="D40" s="3" t="s">
        <v>107</v>
      </c>
      <c r="E40" s="7" t="n">
        <v>1</v>
      </c>
      <c r="F40" s="7" t="n">
        <v>0</v>
      </c>
      <c r="G40" s="3" t="n">
        <f aca="false">E40+F40</f>
        <v>1</v>
      </c>
      <c r="H40" s="8"/>
      <c r="I40" s="9" t="str">
        <f aca="false">IF(H40="","",G40*H40)</f>
        <v/>
      </c>
      <c r="J40" s="10"/>
      <c r="K40" s="10"/>
    </row>
    <row r="41" customFormat="false" ht="15" hidden="false" customHeight="false" outlineLevel="0" collapsed="false">
      <c r="A41" s="3" t="n">
        <v>40</v>
      </c>
      <c r="B41" s="3" t="s">
        <v>101</v>
      </c>
      <c r="C41" s="3" t="s">
        <v>108</v>
      </c>
      <c r="D41" s="3" t="s">
        <v>109</v>
      </c>
      <c r="E41" s="7" t="n">
        <v>1</v>
      </c>
      <c r="F41" s="7" t="n">
        <v>0</v>
      </c>
      <c r="G41" s="3" t="n">
        <f aca="false">E41+F41</f>
        <v>1</v>
      </c>
      <c r="H41" s="8"/>
      <c r="I41" s="9" t="str">
        <f aca="false">IF(H41="","",G41*H41)</f>
        <v/>
      </c>
      <c r="J41" s="10"/>
      <c r="K41" s="10"/>
    </row>
    <row r="42" customFormat="false" ht="15" hidden="false" customHeight="false" outlineLevel="0" collapsed="false">
      <c r="A42" s="3" t="n">
        <v>41</v>
      </c>
      <c r="B42" s="3" t="s">
        <v>110</v>
      </c>
      <c r="C42" s="3" t="s">
        <v>111</v>
      </c>
      <c r="D42" s="3" t="s">
        <v>112</v>
      </c>
      <c r="E42" s="7" t="n">
        <v>2</v>
      </c>
      <c r="F42" s="7" t="n">
        <v>0</v>
      </c>
      <c r="G42" s="3" t="n">
        <f aca="false">E42+F42</f>
        <v>2</v>
      </c>
      <c r="H42" s="8"/>
      <c r="I42" s="9" t="str">
        <f aca="false">IF(H42="","",G42*H42)</f>
        <v/>
      </c>
      <c r="J42" s="10"/>
      <c r="K42" s="10"/>
    </row>
    <row r="43" customFormat="false" ht="15" hidden="false" customHeight="false" outlineLevel="0" collapsed="false">
      <c r="A43" s="3" t="n">
        <v>42</v>
      </c>
      <c r="B43" s="3" t="s">
        <v>110</v>
      </c>
      <c r="C43" s="3" t="s">
        <v>113</v>
      </c>
      <c r="D43" s="3" t="s">
        <v>114</v>
      </c>
      <c r="E43" s="7" t="n">
        <v>0.25</v>
      </c>
      <c r="F43" s="7" t="n">
        <v>0</v>
      </c>
      <c r="G43" s="3" t="n">
        <f aca="false">E43+F43</f>
        <v>0.25</v>
      </c>
      <c r="H43" s="8"/>
      <c r="I43" s="9" t="str">
        <f aca="false">IF(H43="","",G43*H43)</f>
        <v/>
      </c>
      <c r="J43" s="10"/>
      <c r="K43" s="10"/>
    </row>
    <row r="44" customFormat="false" ht="15" hidden="false" customHeight="false" outlineLevel="0" collapsed="false">
      <c r="A44" s="3" t="n">
        <v>43</v>
      </c>
      <c r="B44" s="3" t="s">
        <v>110</v>
      </c>
      <c r="C44" s="3" t="s">
        <v>115</v>
      </c>
      <c r="D44" s="3" t="s">
        <v>109</v>
      </c>
      <c r="E44" s="7" t="n">
        <v>0.1</v>
      </c>
      <c r="F44" s="7" t="n">
        <v>0</v>
      </c>
      <c r="G44" s="3" t="n">
        <f aca="false">E44+F44</f>
        <v>0.1</v>
      </c>
      <c r="H44" s="8"/>
      <c r="I44" s="9" t="str">
        <f aca="false">IF(H44="","",G44*H44)</f>
        <v/>
      </c>
      <c r="J44" s="10"/>
      <c r="K44" s="10"/>
    </row>
    <row r="45" customFormat="false" ht="15" hidden="false" customHeight="fals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false" outlineLevel="0" collapsed="false">
      <c r="A46" s="3"/>
      <c r="B46" s="3"/>
      <c r="C46" s="3"/>
      <c r="D46" s="3"/>
      <c r="E46" s="3"/>
      <c r="F46" s="3"/>
      <c r="G46" s="3"/>
      <c r="H46" s="2" t="s">
        <v>116</v>
      </c>
      <c r="I46" s="11" t="n">
        <f aca="false">SUM(I2:I44)</f>
        <v>0</v>
      </c>
      <c r="J46" s="3"/>
      <c r="K46" s="3"/>
    </row>
    <row r="47" customFormat="false" ht="15" hidden="false" customHeight="false" outlineLevel="0" collapsed="false">
      <c r="A47" s="3"/>
      <c r="B47" s="3"/>
      <c r="C47" s="3"/>
      <c r="D47" s="3"/>
      <c r="E47" s="3"/>
      <c r="F47" s="3"/>
      <c r="G47" s="3"/>
      <c r="H47" s="3" t="s">
        <v>117</v>
      </c>
      <c r="I47" s="3" t="str">
        <f aca="false">COUNT(H2:H44)&amp;" von 43"</f>
        <v>0 von 43</v>
      </c>
      <c r="J47" s="3"/>
      <c r="K47" s="3"/>
    </row>
  </sheetData>
  <dataValidations count="1">
    <dataValidation allowBlank="true" errorStyle="stop" operator="between" showDropDown="false" showErrorMessage="false" showInputMessage="false" sqref="J2:J44" type="list">
      <formula1>"offen,bestellt,geliefert,vorhanden"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6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22"/>
    <col collapsed="false" customWidth="true" hidden="false" outlineLevel="0" max="8" min="8" style="0" width="10"/>
    <col collapsed="false" customWidth="true" hidden="false" outlineLevel="0" max="10" min="9" style="0" width="22"/>
    <col collapsed="false" customWidth="true" hidden="false" outlineLevel="0" max="11" min="11" style="0" width="40"/>
  </cols>
  <sheetData>
    <row r="1" customFormat="false" ht="30" hidden="false" customHeight="true" outlineLevel="0" collapsed="false">
      <c r="A1" s="6" t="s">
        <v>17</v>
      </c>
      <c r="B1" s="6" t="s">
        <v>118</v>
      </c>
      <c r="C1" s="6" t="s">
        <v>119</v>
      </c>
      <c r="D1" s="6" t="s">
        <v>120</v>
      </c>
      <c r="E1" s="6" t="s">
        <v>121</v>
      </c>
      <c r="F1" s="6" t="s">
        <v>122</v>
      </c>
      <c r="G1" s="6" t="s">
        <v>123</v>
      </c>
      <c r="H1" s="6" t="s">
        <v>124</v>
      </c>
      <c r="I1" s="6" t="s">
        <v>125</v>
      </c>
      <c r="J1" s="6" t="s">
        <v>126</v>
      </c>
      <c r="K1" s="6" t="s">
        <v>127</v>
      </c>
    </row>
    <row r="2" customFormat="false" ht="15" hidden="false" customHeight="false" outlineLevel="0" collapsed="false">
      <c r="A2" s="3" t="s">
        <v>128</v>
      </c>
      <c r="B2" s="3" t="s">
        <v>129</v>
      </c>
      <c r="C2" s="3" t="s">
        <v>130</v>
      </c>
      <c r="D2" s="7" t="n">
        <v>3</v>
      </c>
      <c r="E2" s="7" t="n">
        <v>21.71</v>
      </c>
      <c r="F2" s="7" t="n">
        <v>1.27</v>
      </c>
      <c r="G2" s="12" t="n">
        <f aca="false">E2*F2</f>
        <v>27.5717</v>
      </c>
      <c r="H2" s="7" t="n">
        <v>0.8</v>
      </c>
      <c r="I2" s="13" t="n">
        <f aca="false">D2*G2*H2</f>
        <v>66.17208</v>
      </c>
      <c r="J2" s="3" t="s">
        <v>131</v>
      </c>
      <c r="K2" s="3" t="s">
        <v>132</v>
      </c>
    </row>
    <row r="3" customFormat="false" ht="15" hidden="false" customHeight="false" outlineLevel="0" collapsed="false">
      <c r="A3" s="3" t="s">
        <v>133</v>
      </c>
      <c r="B3" s="3" t="s">
        <v>134</v>
      </c>
      <c r="C3" s="3" t="s">
        <v>130</v>
      </c>
      <c r="D3" s="7" t="n">
        <v>3</v>
      </c>
      <c r="E3" s="7" t="n">
        <v>21.71</v>
      </c>
      <c r="F3" s="7" t="n">
        <v>1.27</v>
      </c>
      <c r="G3" s="12" t="n">
        <f aca="false">E3*F3</f>
        <v>27.5717</v>
      </c>
      <c r="H3" s="7" t="n">
        <v>0.8</v>
      </c>
      <c r="I3" s="13" t="n">
        <f aca="false">D3*G3*H3</f>
        <v>66.17208</v>
      </c>
      <c r="J3" s="3" t="s">
        <v>131</v>
      </c>
      <c r="K3" s="3" t="s">
        <v>135</v>
      </c>
    </row>
    <row r="4" customFormat="false" ht="15" hidden="false" customHeight="false" outlineLevel="0" collapsed="false">
      <c r="A4" s="3" t="s">
        <v>136</v>
      </c>
      <c r="B4" s="3" t="s">
        <v>137</v>
      </c>
      <c r="C4" s="3" t="s">
        <v>130</v>
      </c>
      <c r="D4" s="7" t="n">
        <v>3</v>
      </c>
      <c r="E4" s="7" t="n">
        <v>48.63</v>
      </c>
      <c r="F4" s="7" t="n">
        <v>1.27</v>
      </c>
      <c r="G4" s="12" t="n">
        <f aca="false">E4*F4</f>
        <v>61.7601</v>
      </c>
      <c r="H4" s="7" t="n">
        <v>0.8</v>
      </c>
      <c r="I4" s="13" t="n">
        <f aca="false">D4*G4*H4</f>
        <v>148.22424</v>
      </c>
      <c r="J4" s="3" t="s">
        <v>138</v>
      </c>
      <c r="K4" s="3" t="s">
        <v>132</v>
      </c>
    </row>
    <row r="5" customFormat="false" ht="15" hidden="false" customHeight="false" outlineLevel="0" collapsed="false">
      <c r="A5" s="3" t="s">
        <v>139</v>
      </c>
      <c r="B5" s="3" t="s">
        <v>140</v>
      </c>
      <c r="C5" s="3" t="s">
        <v>130</v>
      </c>
      <c r="D5" s="7" t="n">
        <v>3</v>
      </c>
      <c r="E5" s="7" t="n">
        <v>48.63</v>
      </c>
      <c r="F5" s="7" t="n">
        <v>1.27</v>
      </c>
      <c r="G5" s="12" t="n">
        <f aca="false">E5*F5</f>
        <v>61.7601</v>
      </c>
      <c r="H5" s="7" t="n">
        <v>0.8</v>
      </c>
      <c r="I5" s="13" t="n">
        <f aca="false">D5*G5*H5</f>
        <v>148.22424</v>
      </c>
      <c r="J5" s="3" t="s">
        <v>138</v>
      </c>
      <c r="K5" s="3" t="s">
        <v>135</v>
      </c>
    </row>
    <row r="6" customFormat="false" ht="15" hidden="false" customHeight="false" outlineLevel="0" collapsed="false">
      <c r="A6" s="3" t="s">
        <v>141</v>
      </c>
      <c r="B6" s="3" t="s">
        <v>142</v>
      </c>
      <c r="C6" s="3" t="s">
        <v>130</v>
      </c>
      <c r="D6" s="7" t="n">
        <v>3</v>
      </c>
      <c r="E6" s="7" t="n">
        <v>50.88</v>
      </c>
      <c r="F6" s="7" t="n">
        <v>1.27</v>
      </c>
      <c r="G6" s="12" t="n">
        <f aca="false">E6*F6</f>
        <v>64.6176</v>
      </c>
      <c r="H6" s="7" t="n">
        <v>0.8</v>
      </c>
      <c r="I6" s="13" t="n">
        <f aca="false">D6*G6*H6</f>
        <v>155.08224</v>
      </c>
      <c r="J6" s="3" t="s">
        <v>138</v>
      </c>
      <c r="K6" s="3" t="s">
        <v>132</v>
      </c>
    </row>
    <row r="7" customFormat="false" ht="15" hidden="false" customHeight="false" outlineLevel="0" collapsed="false">
      <c r="A7" s="3" t="s">
        <v>143</v>
      </c>
      <c r="B7" s="3" t="s">
        <v>144</v>
      </c>
      <c r="C7" s="3" t="s">
        <v>130</v>
      </c>
      <c r="D7" s="7" t="n">
        <v>3</v>
      </c>
      <c r="E7" s="7" t="n">
        <v>50.88</v>
      </c>
      <c r="F7" s="7" t="n">
        <v>1.27</v>
      </c>
      <c r="G7" s="12" t="n">
        <f aca="false">E7*F7</f>
        <v>64.6176</v>
      </c>
      <c r="H7" s="7" t="n">
        <v>0.8</v>
      </c>
      <c r="I7" s="13" t="n">
        <f aca="false">D7*G7*H7</f>
        <v>155.08224</v>
      </c>
      <c r="J7" s="3" t="s">
        <v>138</v>
      </c>
      <c r="K7" s="3" t="s">
        <v>135</v>
      </c>
    </row>
    <row r="8" customFormat="false" ht="15" hidden="false" customHeight="false" outlineLevel="0" collapsed="false">
      <c r="A8" s="3" t="s">
        <v>145</v>
      </c>
      <c r="B8" s="3" t="s">
        <v>146</v>
      </c>
      <c r="C8" s="3" t="s">
        <v>147</v>
      </c>
      <c r="D8" s="7" t="n">
        <v>6</v>
      </c>
      <c r="E8" s="7" t="n">
        <v>17.23</v>
      </c>
      <c r="F8" s="7" t="n">
        <v>1.21</v>
      </c>
      <c r="G8" s="12" t="n">
        <f aca="false">E8*F8</f>
        <v>20.8483</v>
      </c>
      <c r="H8" s="7" t="n">
        <v>0.8</v>
      </c>
      <c r="I8" s="13" t="n">
        <f aca="false">D8*G8*H8</f>
        <v>100.07184</v>
      </c>
      <c r="J8" s="3" t="s">
        <v>148</v>
      </c>
      <c r="K8" s="3" t="s">
        <v>149</v>
      </c>
    </row>
    <row r="9" customFormat="false" ht="15" hidden="false" customHeight="false" outlineLevel="0" collapsed="false">
      <c r="A9" s="3" t="s">
        <v>150</v>
      </c>
      <c r="B9" s="3" t="s">
        <v>151</v>
      </c>
      <c r="C9" s="3" t="s">
        <v>152</v>
      </c>
      <c r="D9" s="7" t="n">
        <v>12</v>
      </c>
      <c r="E9" s="7" t="n">
        <v>1.28</v>
      </c>
      <c r="F9" s="7" t="n">
        <v>1.24</v>
      </c>
      <c r="G9" s="12" t="n">
        <f aca="false">E9*F9</f>
        <v>1.5872</v>
      </c>
      <c r="H9" s="7" t="n">
        <v>1</v>
      </c>
      <c r="I9" s="13" t="n">
        <f aca="false">D9*G9*H9</f>
        <v>19.0464</v>
      </c>
      <c r="J9" s="3" t="s">
        <v>153</v>
      </c>
      <c r="K9" s="3" t="s">
        <v>154</v>
      </c>
    </row>
    <row r="10" customFormat="false" ht="15" hidden="false" customHeight="false" outlineLevel="0" collapsed="false">
      <c r="A10" s="3" t="s">
        <v>155</v>
      </c>
      <c r="B10" s="3" t="s">
        <v>156</v>
      </c>
      <c r="C10" s="3" t="s">
        <v>152</v>
      </c>
      <c r="D10" s="7" t="n">
        <v>12</v>
      </c>
      <c r="E10" s="7" t="n">
        <v>0.32</v>
      </c>
      <c r="F10" s="7" t="n">
        <v>1.24</v>
      </c>
      <c r="G10" s="12" t="n">
        <f aca="false">E10*F10</f>
        <v>0.3968</v>
      </c>
      <c r="H10" s="7" t="n">
        <v>1</v>
      </c>
      <c r="I10" s="13" t="n">
        <f aca="false">D10*G10*H10</f>
        <v>4.7616</v>
      </c>
      <c r="J10" s="3" t="s">
        <v>153</v>
      </c>
      <c r="K10" s="3" t="s">
        <v>154</v>
      </c>
    </row>
    <row r="11" customFormat="false" ht="15" hidden="false" customHeight="false" outlineLevel="0" collapsed="false">
      <c r="A11" s="3" t="s">
        <v>157</v>
      </c>
      <c r="B11" s="3" t="s">
        <v>158</v>
      </c>
      <c r="C11" s="3" t="s">
        <v>130</v>
      </c>
      <c r="D11" s="7" t="n">
        <v>1</v>
      </c>
      <c r="E11" s="7" t="n">
        <v>150.79</v>
      </c>
      <c r="F11" s="7" t="n">
        <v>1.27</v>
      </c>
      <c r="G11" s="12" t="n">
        <f aca="false">E11*F11</f>
        <v>191.5033</v>
      </c>
      <c r="H11" s="7" t="n">
        <v>0.85</v>
      </c>
      <c r="I11" s="13" t="n">
        <f aca="false">D11*G11*H11</f>
        <v>162.777805</v>
      </c>
      <c r="J11" s="3" t="s">
        <v>159</v>
      </c>
      <c r="K11" s="3" t="s">
        <v>160</v>
      </c>
    </row>
    <row r="12" customFormat="false" ht="15" hidden="false" customHeight="false" outlineLevel="0" collapsed="false">
      <c r="A12" s="3" t="s">
        <v>161</v>
      </c>
      <c r="B12" s="3" t="s">
        <v>162</v>
      </c>
      <c r="C12" s="3" t="s">
        <v>130</v>
      </c>
      <c r="D12" s="7" t="n">
        <v>1</v>
      </c>
      <c r="E12" s="7" t="n">
        <v>89.01</v>
      </c>
      <c r="F12" s="7" t="n">
        <v>1.27</v>
      </c>
      <c r="G12" s="12" t="n">
        <f aca="false">E12*F12</f>
        <v>113.0427</v>
      </c>
      <c r="H12" s="7" t="n">
        <v>0.85</v>
      </c>
      <c r="I12" s="13" t="n">
        <f aca="false">D12*G12*H12</f>
        <v>96.086295</v>
      </c>
      <c r="J12" s="3" t="s">
        <v>159</v>
      </c>
      <c r="K12" s="3" t="s">
        <v>163</v>
      </c>
    </row>
    <row r="13" customFormat="false" ht="15" hidden="false" customHeight="false" outlineLevel="0" collapsed="false">
      <c r="A13" s="3" t="s">
        <v>164</v>
      </c>
      <c r="B13" s="3" t="s">
        <v>165</v>
      </c>
      <c r="C13" s="3" t="s">
        <v>130</v>
      </c>
      <c r="D13" s="7" t="n">
        <v>1</v>
      </c>
      <c r="E13" s="7" t="n">
        <v>148.88</v>
      </c>
      <c r="F13" s="7" t="n">
        <v>1.27</v>
      </c>
      <c r="G13" s="12" t="n">
        <f aca="false">E13*F13</f>
        <v>189.0776</v>
      </c>
      <c r="H13" s="7" t="n">
        <v>0.85</v>
      </c>
      <c r="I13" s="13" t="n">
        <f aca="false">D13*G13*H13</f>
        <v>160.71596</v>
      </c>
      <c r="J13" s="3" t="s">
        <v>159</v>
      </c>
      <c r="K13" s="3" t="s">
        <v>166</v>
      </c>
    </row>
    <row r="14" customFormat="false" ht="15" hidden="false" customHeight="false" outlineLevel="0" collapsed="false">
      <c r="A14" s="3" t="s">
        <v>167</v>
      </c>
      <c r="B14" s="3" t="s">
        <v>168</v>
      </c>
      <c r="C14" s="3" t="s">
        <v>130</v>
      </c>
      <c r="D14" s="7" t="n">
        <v>1</v>
      </c>
      <c r="E14" s="7" t="n">
        <v>87.91</v>
      </c>
      <c r="F14" s="7" t="n">
        <v>1.27</v>
      </c>
      <c r="G14" s="12" t="n">
        <f aca="false">E14*F14</f>
        <v>111.6457</v>
      </c>
      <c r="H14" s="7" t="n">
        <v>0.85</v>
      </c>
      <c r="I14" s="13" t="n">
        <f aca="false">D14*G14*H14</f>
        <v>94.898845</v>
      </c>
      <c r="J14" s="3" t="s">
        <v>159</v>
      </c>
      <c r="K14" s="3" t="s">
        <v>169</v>
      </c>
    </row>
    <row r="15" customFormat="false" ht="15" hidden="false" customHeight="false" outlineLevel="0" collapsed="false">
      <c r="A15" s="3" t="s">
        <v>170</v>
      </c>
      <c r="B15" s="3" t="s">
        <v>171</v>
      </c>
      <c r="C15" s="3" t="s">
        <v>130</v>
      </c>
      <c r="D15" s="7" t="n">
        <v>1</v>
      </c>
      <c r="E15" s="7" t="n">
        <v>31</v>
      </c>
      <c r="F15" s="7" t="n">
        <v>1.27</v>
      </c>
      <c r="G15" s="12" t="n">
        <f aca="false">E15*F15</f>
        <v>39.37</v>
      </c>
      <c r="H15" s="7" t="n">
        <v>0.85</v>
      </c>
      <c r="I15" s="13" t="n">
        <f aca="false">D15*G15*H15</f>
        <v>33.4645</v>
      </c>
      <c r="J15" s="3" t="s">
        <v>172</v>
      </c>
      <c r="K15" s="3" t="s">
        <v>173</v>
      </c>
    </row>
    <row r="16" customFormat="false" ht="15" hidden="false" customHeight="fals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customFormat="false" ht="15" hidden="false" customHeight="false" outlineLevel="0" collapsed="false">
      <c r="A17" s="2" t="s">
        <v>174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customFormat="false" ht="15" hidden="false" customHeight="false" outlineLevel="0" collapsed="false">
      <c r="A18" s="3" t="s">
        <v>130</v>
      </c>
      <c r="B18" s="3"/>
      <c r="C18" s="3"/>
      <c r="D18" s="3"/>
      <c r="E18" s="3"/>
      <c r="F18" s="3"/>
      <c r="G18" s="3"/>
      <c r="H18" s="3" t="s">
        <v>175</v>
      </c>
      <c r="I18" s="13" t="n">
        <f aca="false">SUMIFS(I2:I15,C2:C15,A18)</f>
        <v>1286.900525</v>
      </c>
      <c r="J18" s="3"/>
      <c r="K18" s="3"/>
    </row>
    <row r="19" customFormat="false" ht="15" hidden="false" customHeight="false" outlineLevel="0" collapsed="false">
      <c r="A19" s="3" t="s">
        <v>147</v>
      </c>
      <c r="B19" s="3"/>
      <c r="C19" s="3"/>
      <c r="D19" s="3"/>
      <c r="E19" s="3"/>
      <c r="F19" s="3"/>
      <c r="G19" s="3"/>
      <c r="H19" s="3" t="s">
        <v>175</v>
      </c>
      <c r="I19" s="13" t="n">
        <f aca="false">SUMIFS(I2:I15,C2:C15,A19)</f>
        <v>100.07184</v>
      </c>
      <c r="J19" s="3"/>
      <c r="K19" s="3"/>
    </row>
    <row r="20" customFormat="false" ht="15" hidden="false" customHeight="false" outlineLevel="0" collapsed="false">
      <c r="A20" s="3" t="s">
        <v>152</v>
      </c>
      <c r="B20" s="3"/>
      <c r="C20" s="3"/>
      <c r="D20" s="3"/>
      <c r="E20" s="3"/>
      <c r="F20" s="3"/>
      <c r="G20" s="3"/>
      <c r="H20" s="3" t="s">
        <v>175</v>
      </c>
      <c r="I20" s="13" t="n">
        <f aca="false">SUMIFS(I2:I15,C2:C15,A20)</f>
        <v>23.808</v>
      </c>
      <c r="J20" s="3"/>
      <c r="K20" s="3"/>
    </row>
    <row r="21" customFormat="false" ht="15" hidden="false" customHeight="false" outlineLevel="0" collapsed="false">
      <c r="A21" s="2" t="s">
        <v>176</v>
      </c>
      <c r="B21" s="3"/>
      <c r="C21" s="3"/>
      <c r="D21" s="3"/>
      <c r="E21" s="3"/>
      <c r="F21" s="3"/>
      <c r="G21" s="3"/>
      <c r="H21" s="3"/>
      <c r="I21" s="14" t="n">
        <f aca="false">SUM(I18:I20)</f>
        <v>1410.780365</v>
      </c>
      <c r="J21" s="3"/>
      <c r="K21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3" min="3" style="0" width="40"/>
  </cols>
  <sheetData>
    <row r="1" customFormat="false" ht="30" hidden="false" customHeight="true" outlineLevel="0" collapsed="false">
      <c r="A1" s="6" t="s">
        <v>177</v>
      </c>
      <c r="B1" s="6" t="s">
        <v>178</v>
      </c>
      <c r="C1" s="6" t="s">
        <v>179</v>
      </c>
    </row>
    <row r="2" customFormat="false" ht="15" hidden="false" customHeight="false" outlineLevel="0" collapsed="false">
      <c r="A2" s="3" t="s">
        <v>180</v>
      </c>
      <c r="B2" s="15" t="n">
        <f aca="false">Druckteile!I21</f>
        <v>1410.780365</v>
      </c>
      <c r="C2" s="3" t="s">
        <v>181</v>
      </c>
    </row>
    <row r="3" customFormat="false" ht="15" hidden="false" customHeight="false" outlineLevel="0" collapsed="false">
      <c r="A3" s="3" t="s">
        <v>182</v>
      </c>
      <c r="B3" s="15" t="n">
        <f aca="false">18*55</f>
        <v>990</v>
      </c>
      <c r="C3" s="3" t="s">
        <v>183</v>
      </c>
    </row>
    <row r="4" customFormat="false" ht="15" hidden="false" customHeight="false" outlineLevel="0" collapsed="false">
      <c r="A4" s="3" t="s">
        <v>184</v>
      </c>
      <c r="B4" s="16" t="n">
        <v>600</v>
      </c>
      <c r="C4" s="3" t="s">
        <v>185</v>
      </c>
    </row>
    <row r="5" customFormat="false" ht="15" hidden="false" customHeight="false" outlineLevel="0" collapsed="false">
      <c r="A5" s="3" t="s">
        <v>186</v>
      </c>
      <c r="B5" s="16" t="n">
        <v>400</v>
      </c>
      <c r="C5" s="3" t="s">
        <v>187</v>
      </c>
    </row>
    <row r="6" customFormat="false" ht="15" hidden="false" customHeight="false" outlineLevel="0" collapsed="false">
      <c r="A6" s="3" t="s">
        <v>188</v>
      </c>
      <c r="B6" s="16" t="n">
        <v>200</v>
      </c>
      <c r="C6" s="3" t="s">
        <v>187</v>
      </c>
    </row>
    <row r="7" customFormat="false" ht="15" hidden="false" customHeight="false" outlineLevel="0" collapsed="false">
      <c r="A7" s="2" t="s">
        <v>189</v>
      </c>
      <c r="B7" s="17" t="n">
        <f aca="false">SUM(B2:B6)</f>
        <v>3600.780365</v>
      </c>
      <c r="C7" s="3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2026-10-23T07:55:49Z</dcterms:created>
  <dc:creator>openpyxl</dc:creator>
  <dc:description/>
  <dc:language>en-US</dc:language>
  <cp:lastModifiedBy/>
  <dcterms:modified xsi:type="dcterms:W3CDTF">2026-10-23T07:55:49Z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