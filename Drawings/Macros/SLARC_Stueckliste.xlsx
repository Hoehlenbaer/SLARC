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Druckeinstellungen" sheetId="4" state="visible" r:id="rId4"/>
    <sheet xmlns:r="http://schemas.openxmlformats.org/officeDocument/2006/relationships" name="Gewicht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  <xf numFmtId="0" fontId="6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1" t="inlineStr">
        <is>
          <t>Druckeinstellungen</t>
        </is>
      </c>
      <c r="B2" t="inlineStr">
        <is>
          <t>Blatt Druckeinstellungen: Werte, die für alle Teile eines Materials gelten. Teilespezifisches (Füllung, Wände, Ausrichtung, Stützen) im Blatt Druckteile.</t>
        </is>
      </c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Steuerung</t>
        </is>
      </c>
      <c r="C10" s="3" t="inlineStr">
        <is>
          <t>Drucktaster 12 mm, Einbau, Schließer (Metall, IP65)</t>
        </is>
      </c>
      <c r="D10" s="3" t="inlineStr">
        <is>
          <t>Ein/Aus: weckt ESP32 aus dem Deep Sleep (IO35), kurz = aus, 5 s = Notaus; Gewindelänge &gt;= 6 mm, Kopf-Ø &lt;= 15 mm</t>
        </is>
      </c>
      <c r="E10" s="7" t="n">
        <v>1</v>
      </c>
      <c r="F10" s="7" t="n">
        <v>0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Widerstand 10 kΩ</t>
        </is>
      </c>
      <c r="D11" s="3" t="inlineStr">
        <is>
          <t>Pull-ups Fußkontakte (6) + Ein/Aus-Taster an IO35 (1)</t>
        </is>
      </c>
      <c r="E11" s="7" t="n">
        <v>7</v>
      </c>
      <c r="F11" s="7" t="n">
        <v>4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Verdrahtung</t>
        </is>
      </c>
      <c r="C12" s="3" t="inlineStr">
        <is>
          <t>WS2812B-LED-Streifen (optional)</t>
        </is>
      </c>
      <c r="D12" s="3" t="inlineStr">
        <is>
          <t>Daten an IO4; 5 V vom Treiber (bis ~10 LEDs) oder vom DC-DC</t>
        </is>
      </c>
      <c r="E12" s="7" t="n">
        <v>1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IMX296 Kamera-Modul mit ext. Trigger</t>
        </is>
      </c>
      <c r="D13" s="3" t="inlineStr">
        <is>
          <t>39x39 mm, M12-Halter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M12-Objektiv 2,8 mm (ZH3019-14)</t>
        </is>
      </c>
      <c r="D14" s="3" t="inlineStr">
        <is>
          <t>F2.2, 1/2.7"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CSI-Kabel Pi 5 (22-pol auf 15-pol), ca. 200 mm</t>
        </is>
      </c>
      <c r="D15" s="3" t="inlineStr">
        <is>
          <t>Kamera -&gt; Pi 5 CAM0/CAM1</t>
        </is>
      </c>
      <c r="E15" s="7" t="n">
        <v>2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Trigger-Verteilerplatine</t>
        </is>
      </c>
      <c r="D16" s="3" t="inlineStr">
        <is>
          <t>Eigenbau, 20x22 mm</t>
        </is>
      </c>
      <c r="E16" s="7" t="n">
        <v>1</v>
      </c>
      <c r="F16" s="7" t="n">
        <v>0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Sensorik</t>
        </is>
      </c>
      <c r="C17" s="3" t="inlineStr">
        <is>
          <t>Mikroschalter D2F (oder ähnlich)</t>
        </is>
      </c>
      <c r="D17" s="3" t="inlineStr">
        <is>
          <t>Fußkontakt; Maße im Bein-Makro (sw_*) anpassen</t>
        </is>
      </c>
      <c r="E17" s="7" t="n">
        <v>6</v>
      </c>
      <c r="F17" s="7" t="n">
        <v>2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LiPo ZEEE 3S 9000 mAh</t>
        </is>
      </c>
      <c r="D18" s="3" t="inlineStr">
        <is>
          <t>ca. 170x50x32 mm, Deans (Buchse am Akku)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BMS 3S (Daly 12 V 60 A oder 30–40 A)</t>
        </is>
      </c>
      <c r="D19" s="3" t="inlineStr">
        <is>
          <t>kleineres BMS reicht (Mittel ~10 A, Spitzen 20–30 A)</t>
        </is>
      </c>
      <c r="E19" s="7" t="n">
        <v>1</v>
      </c>
      <c r="F19" s="7" t="n">
        <v>0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Flachsicherung 30–40 A + Halter</t>
        </is>
      </c>
      <c r="D20" s="3" t="inlineStr">
        <is>
          <t>direkt am Akku</t>
        </is>
      </c>
      <c r="E20" s="7" t="n">
        <v>1</v>
      </c>
      <c r="F20" s="7" t="n">
        <v>1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Relaismodul 8-Kanal</t>
        </is>
      </c>
      <c r="D21" s="3" t="inlineStr">
        <is>
          <t>8× SRD-05VDC-SL-C (10 A): K1 12 V -&gt; DC-DC (Pi), K2–K7 je ein Bein, K8 frei; Jumper JD-VCC ziehen (VCC 3,3 V, JD-VCC 5 V)</t>
        </is>
      </c>
      <c r="E21" s="7" t="n">
        <v>1</v>
      </c>
      <c r="F21" s="7" t="n">
        <v>0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Deans-T-Stecker (Stifte, Robot-Seite)</t>
        </is>
      </c>
      <c r="D22" s="3" t="inlineStr">
        <is>
          <t>Gegenstück zur Deans-Buchse am Akku; sitzt im Steckerhalter (untere Platte hinten)</t>
        </is>
      </c>
      <c r="E22" s="7" t="n">
        <v>1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Energie</t>
        </is>
      </c>
      <c r="C23" s="3" t="inlineStr">
        <is>
          <t>Litze AWG20 rot/schwarz (m)</t>
        </is>
      </c>
      <c r="D23" s="3" t="inlineStr">
        <is>
          <t>vorhanden; je Bein 12 V (von Kx NO) + GND, Relais-COM, DC-DC, Pi-5V (je Pol 2 Adern)</t>
        </is>
      </c>
      <c r="E23" s="7" t="n">
        <v>12</v>
      </c>
      <c r="F23" s="7" t="n">
        <v>0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Bein-Platine A (Lochraster ½ 3×7 cm)</t>
        </is>
      </c>
      <c r="D24" s="3" t="inlineStr">
        <is>
          <t>Eigenbau, Layout Documentation/Wiring</t>
        </is>
      </c>
      <c r="E24" s="7" t="n">
        <v>6</v>
      </c>
      <c r="F24" s="7" t="n">
        <v>1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JST-XH 2,54 Steckverbinder-Sortiment</t>
        </is>
      </c>
      <c r="D25" s="3" t="n"/>
      <c r="E25" s="7" t="n">
        <v>1</v>
      </c>
      <c r="F25" s="7" t="n">
        <v>0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Elko 470 µF / 25 V (radial, low ESR)</t>
        </is>
      </c>
      <c r="D27" s="3" t="inlineStr">
        <is>
          <t>je Bein-Platine, + an 12 V</t>
        </is>
      </c>
      <c r="E27" s="7" t="n">
        <v>6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Keramikkondensator 100 nF</t>
        </is>
      </c>
      <c r="D28" s="3" t="inlineStr">
        <is>
          <t>Abblockung MCP23017 (Hub)</t>
        </is>
      </c>
      <c r="E28" s="7" t="n">
        <v>1</v>
      </c>
      <c r="F28" s="7" t="n">
        <v>4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Transistor BC547 (NPN)</t>
        </is>
      </c>
      <c r="D29" s="3" t="inlineStr">
        <is>
          <t>Relais-Adapter: Pi hält K1 (Diode ginge nicht, ausgeschalteter Pi zieht den Eingang)</t>
        </is>
      </c>
      <c r="E29" s="7" t="n">
        <v>1</v>
      </c>
      <c r="F29" s="7" t="n">
        <v>1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Widerstand 4,7 kΩ</t>
        </is>
      </c>
      <c r="D30" s="3" t="inlineStr">
        <is>
          <t>Basiswiderstand BC547</t>
        </is>
      </c>
      <c r="E30" s="7" t="n">
        <v>1</v>
      </c>
      <c r="F30" s="7" t="n">
        <v>2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Stiftleiste 2,54 mm gerade, 40-pol.</t>
        </is>
      </c>
      <c r="D31" s="3" t="inlineStr">
        <is>
          <t>Servo-Anschlüsse Bein-Platinen (18× 3-pol.)</t>
        </is>
      </c>
      <c r="E31" s="7" t="n">
        <v>2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Buchsenleiste 2,54 mm, 10-pol., gewinkelt</t>
        </is>
      </c>
      <c r="D32" s="3" t="inlineStr">
        <is>
          <t>Relais-Adapter auf die Eingangsstifte des Relaismoduls (nur ~16 mm Höhe frei)</t>
        </is>
      </c>
      <c r="E32" s="7" t="n">
        <v>1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Lochrasterplatinen AZ-Delivery</t>
        </is>
      </c>
      <c r="D33" s="3" t="inlineStr">
        <is>
          <t>vorhanden: 3× 3×7 (6 Bein-Platinen), 2× 5×7 (Hub, Power), 1× 2×8 (Relais-Adapter)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Signal-Litze AWG24, mehrere Farben (m)</t>
        </is>
      </c>
      <c r="D34" s="3" t="inlineStr">
        <is>
          <t>für XH-Crimps (AWG20 passt nicht in XH-Kontakte): Hub &lt;-&gt; Beine, I²C, INT, Relais</t>
        </is>
      </c>
      <c r="E34" s="7" t="n">
        <v>10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Energie</t>
        </is>
      </c>
      <c r="C35" s="3" t="inlineStr">
        <is>
          <t>Litze AWG14 rot/schwarz (m)</t>
        </is>
      </c>
      <c r="D35" s="3" t="inlineStr">
        <is>
          <t>Akku -&gt; Sicherung -&gt; Power-Board, Akku- -&gt; BMS -&gt; Power-Board; alternativ 3× AWG20 parallel</t>
        </is>
      </c>
      <c r="E35" s="7" t="n">
        <v>1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Verdrahtung</t>
        </is>
      </c>
      <c r="C36" s="3" t="inlineStr">
        <is>
          <t>Kupferdraht 1,5 mm² massiv (m)</t>
        </is>
      </c>
      <c r="D36" s="3" t="inlineStr">
        <is>
          <t>Sammelschienen Power-Board (z. B. NYM-Rest)</t>
        </is>
      </c>
      <c r="E36" s="7" t="n">
        <v>0.5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verzinnt 0,8 mm (m)</t>
        </is>
      </c>
      <c r="D37" s="3" t="inlineStr">
        <is>
          <t>Schienen Bein-Platinen und Hub</t>
        </is>
      </c>
      <c r="E37" s="7" t="n">
        <v>2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Servokabel 5264 3-pol.</t>
        </is>
      </c>
      <c r="D38" s="3" t="inlineStr">
        <is>
          <t>H5 -&gt; Hub (nur DATA + GND), ggf. Verlängerung Tibia-Servo</t>
        </is>
      </c>
      <c r="E38" s="7" t="n">
        <v>2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M3x8 (ISO 7380/4762)</t>
        </is>
      </c>
      <c r="D39" s="3" t="inlineStr">
        <is>
          <t>Gabelwange oben -&gt; Horn, 4 je Gelenk; NICHT länger (Servogehäuse)</t>
        </is>
      </c>
      <c r="E39" s="7" t="n">
        <v>72</v>
      </c>
      <c r="F39" s="7" t="n">
        <v>8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M3x6</t>
        </is>
      </c>
      <c r="D40" s="3" t="inlineStr">
        <is>
          <t>Gabelwange unten -&gt; Rückscheibe, 4 je Gelenk; nicht länger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Blechschraube 2x5 (beiliegend bei ST3215)</t>
        </is>
      </c>
      <c r="D41" s="3" t="inlineStr">
        <is>
          <t>Coxa 4 je Servo (Platten), Bein-Servos 2 je Servo</t>
        </is>
      </c>
      <c r="E41" s="7" t="n">
        <v>48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M3x50</t>
        </is>
      </c>
      <c r="D42" s="3" t="inlineStr">
        <is>
          <t>6 Säulen unter den Panzersäulen, von unten in den Gewindeeinsatz</t>
        </is>
      </c>
      <c r="E42" s="7" t="n">
        <v>6</v>
      </c>
      <c r="F42" s="7" t="n">
        <v>1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Gewindeeinsatz M3 (Einschmelzmutter, 5,7 lang, Ø4,6)</t>
        </is>
      </c>
      <c r="D43" s="3" t="inlineStr">
        <is>
          <t>unten in den 6 Panzersäulen</t>
        </is>
      </c>
      <c r="E43" s="7" t="n">
        <v>6</v>
      </c>
      <c r="F43" s="7" t="n">
        <v>2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Zylinderschraube M3x45</t>
        </is>
      </c>
      <c r="D44" s="3" t="inlineStr">
        <is>
          <t>2 Säulen bei x = -40 (mit Mutter, kein Panzerpfosten)</t>
        </is>
      </c>
      <c r="E44" s="7" t="n">
        <v>2</v>
      </c>
      <c r="F44" s="7" t="n">
        <v>1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M3x12 + Mutter</t>
        </is>
      </c>
      <c r="D45" s="3" t="inlineStr">
        <is>
          <t>Teilungsspant Panzer</t>
        </is>
      </c>
      <c r="E45" s="7" t="n">
        <v>3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M3x10</t>
        </is>
      </c>
      <c r="D46" s="3" t="inlineStr">
        <is>
          <t>Plattenstoß, 4 je Platte</t>
        </is>
      </c>
      <c r="E46" s="7" t="n">
        <v>8</v>
      </c>
      <c r="F46" s="7" t="n">
        <v>2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Sicherungsmutter M3 (Nylonring)</t>
        </is>
      </c>
      <c r="D47" s="3" t="inlineStr">
        <is>
          <t>Säulen + Stoß + Relais</t>
        </is>
      </c>
      <c r="E47" s="7" t="n">
        <v>20</v>
      </c>
      <c r="F47" s="7" t="n">
        <v>4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M3x14</t>
        </is>
      </c>
      <c r="D48" s="3" t="inlineStr">
        <is>
          <t>Relais auf 5-mm-Bolzen (alternativ M2x14)</t>
        </is>
      </c>
      <c r="E48" s="7" t="n">
        <v>4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M3x10 + Mutter</t>
        </is>
      </c>
      <c r="D49" s="3" t="inlineStr">
        <is>
          <t>DC-DC-Laschen (2) + Hub-Träger (2) + Steckerhalter Akku (2) + Taster-Winkel (1)</t>
        </is>
      </c>
      <c r="E49" s="7" t="n">
        <v>7</v>
      </c>
      <c r="F49" s="7" t="n">
        <v>2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M2x6</t>
        </is>
      </c>
      <c r="D50" s="3" t="inlineStr">
        <is>
          <t>Kamera-Platinen, direkt ins 1,7-mm-Kernloch</t>
        </is>
      </c>
      <c r="E50" s="7" t="n">
        <v>8</v>
      </c>
      <c r="F50" s="7" t="n">
        <v>2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M2x5</t>
        </is>
      </c>
      <c r="D51" s="3" t="inlineStr">
        <is>
          <t>Lochraster-Platinen: 6× Bein (je 2), Hub (4), Power-Verteiler (2), direkt ins 1,7-mm-Kernloch</t>
        </is>
      </c>
      <c r="E51" s="7" t="n">
        <v>18</v>
      </c>
      <c r="F51" s="7" t="n">
        <v>4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Zylinderschraube M2x25 + Mutter</t>
        </is>
      </c>
      <c r="D52" s="3" t="inlineStr">
        <is>
          <t>Kamerahalter-Laschen durch Sockel + Platte</t>
        </is>
      </c>
      <c r="E52" s="7" t="n">
        <v>2</v>
      </c>
      <c r="F52" s="7" t="n">
        <v>1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Zylinderschraube M2,5x16</t>
        </is>
      </c>
      <c r="D53" s="3" t="inlineStr">
        <is>
          <t>Pi 5: von unten durch Platte, gedruckte Hülse und Pi in die Abstandsbolzen des AI HAT+ (ersetzt dessen lange Schrauben)</t>
        </is>
      </c>
      <c r="E53" s="7" t="n">
        <v>4</v>
      </c>
      <c r="F53" s="7" t="n">
        <v>2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Distanzhülsen M2,5 x 16 (Treiber)</t>
        </is>
      </c>
      <c r="D54" s="3" t="inlineStr">
        <is>
          <t>liegen dem Treiber bei</t>
        </is>
      </c>
      <c r="E54" s="7" t="n">
        <v>4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inlineStr">
        <is>
          <t>vorhanden</t>
        </is>
      </c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Zylinderschraube M2,5x5</t>
        </is>
      </c>
      <c r="D55" s="3" t="inlineStr">
        <is>
          <t>Treiber-Distanzhülsen, falls keine Schrauben beiliegen</t>
        </is>
      </c>
      <c r="E55" s="7" t="n">
        <v>8</v>
      </c>
      <c r="F55" s="7" t="n">
        <v>2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Kunststoff-Unterlegscheiben M2/M2,5/M3 (Sortiment)</t>
        </is>
      </c>
      <c r="D56" s="3" t="n"/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Verbindung</t>
        </is>
      </c>
      <c r="C57" s="3" t="inlineStr">
        <is>
          <t>Federstahldraht 1,2 mm (m)</t>
        </is>
      </c>
      <c r="D57" s="3" t="inlineStr">
        <is>
          <t>Haltestifte Mikroschalter, bündig abknipsen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Kabelbinder 2,5 mm</t>
        </is>
      </c>
      <c r="D58" s="3" t="inlineStr">
        <is>
          <t>Kabelösen Femur/Tibia</t>
        </is>
      </c>
      <c r="E58" s="7" t="n">
        <v>50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Klettband 20 mm (m)</t>
        </is>
      </c>
      <c r="D59" s="3" t="inlineStr">
        <is>
          <t>Batterie 2 Gurte, BMS 1 Gurt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Moosgummi EPDM 5 mm, selbstklebend (Streifen, ca. 20 mm breit)</t>
        </is>
      </c>
      <c r="D60" s="3" t="inlineStr">
        <is>
          <t>Akku: Streifen unter die obere Platte (Spalt 4,1 mm) gegen Klappern; 1 Stück 20x20 mit Ø9-Loch unter den Kopf des Akku-Riegels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Doppelseitiges Klebeband</t>
        </is>
      </c>
      <c r="D61" s="3" t="inlineStr">
        <is>
          <t>Trigger-Platine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Kleinteile</t>
        </is>
      </c>
      <c r="C62" s="3" t="inlineStr">
        <is>
          <t>2K-Epoxid oder Sekundenkleber + Primer</t>
        </is>
      </c>
      <c r="D62" s="3" t="inlineStr">
        <is>
          <t>Zierleisten</t>
        </is>
      </c>
      <c r="E62" s="7" t="n">
        <v>1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PETG schwarz (kg)</t>
        </is>
      </c>
      <c r="D63" s="3" t="inlineStr">
        <is>
          <t>siehe Blatt Druckteile; inkl. Probedrucke</t>
        </is>
      </c>
      <c r="E63" s="7" t="n">
        <v>2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TPU 95A (kg)</t>
        </is>
      </c>
      <c r="D64" s="3" t="inlineStr">
        <is>
          <t>Füße</t>
        </is>
      </c>
      <c r="E64" s="7" t="n">
        <v>0.25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>
        <v>64</v>
      </c>
      <c r="B65" s="3" t="inlineStr">
        <is>
          <t>Filament</t>
        </is>
      </c>
      <c r="C65" s="3" t="inlineStr">
        <is>
          <t>PLA orange (kg)</t>
        </is>
      </c>
      <c r="D65" s="3" t="inlineStr">
        <is>
          <t>Zierleisten</t>
        </is>
      </c>
      <c r="E65" s="7" t="n">
        <v>0.1</v>
      </c>
      <c r="F65" s="7" t="n">
        <v>0</v>
      </c>
      <c r="G65" s="3">
        <f>E65+F65</f>
        <v/>
      </c>
      <c r="H65" s="8" t="n"/>
      <c r="I65" s="9">
        <f>IF(H65="","",G65*H65)</f>
        <v/>
      </c>
      <c r="J65" s="10" t="n"/>
      <c r="K65" s="10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2" t="inlineStr">
        <is>
          <t>Summe</t>
        </is>
      </c>
      <c r="I67" s="11">
        <f>SUM(I2:I65)</f>
        <v/>
      </c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inlineStr">
        <is>
          <t>Preise erfasst</t>
        </is>
      </c>
      <c r="I68" s="3">
        <f>COUNT(H2:H65)&amp;" von 64"</f>
        <v/>
      </c>
      <c r="J68" s="3" t="n"/>
      <c r="K68" s="3" t="n"/>
    </row>
  </sheetData>
  <dataValidations count="1">
    <dataValidation sqref="J2:J65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12" customWidth="1" min="11" max="11"/>
    <col width="34" customWidth="1" min="12" max="12"/>
    <col width="52" customWidth="1" min="13" max="13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Wände (Linien à 0,4)</t>
        </is>
      </c>
      <c r="L1" s="6" t="inlineStr">
        <is>
          <t>Druckausrichtung</t>
        </is>
      </c>
      <c r="M1" s="6" t="inlineStr">
        <is>
          <t>Stützen / Besonderes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n">
        <v>4</v>
      </c>
      <c r="L2" s="3" t="inlineStr">
        <is>
          <t>Gelenkachse senkrecht</t>
        </is>
      </c>
      <c r="M2" s="3" t="inlineStr">
        <is>
          <t>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n">
        <v>4</v>
      </c>
      <c r="L3" s="3" t="inlineStr">
        <is>
          <t>Gelenkachse senkrecht</t>
        </is>
      </c>
      <c r="M3" s="3" t="inlineStr">
        <is>
          <t>Tree Support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 (nur Gelenkbereiche)</t>
        </is>
      </c>
      <c r="K4" s="3" t="n">
        <v>5</v>
      </c>
      <c r="L4" s="3" t="inlineStr">
        <is>
          <t>Gelenkachse senkrecht</t>
        </is>
      </c>
      <c r="M4" s="3" t="inlineStr">
        <is>
          <t>Tree Support; 5 Wände = 2-mm-Rohrwand; Brückeneinstellungen an (16-mm-Decke im Rohr)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 (nur Gelenkbereiche)</t>
        </is>
      </c>
      <c r="K5" s="3" t="n">
        <v>5</v>
      </c>
      <c r="L5" s="3" t="inlineStr">
        <is>
          <t>Gelenkachse senkrecht</t>
        </is>
      </c>
      <c r="M5" s="3" t="inlineStr">
        <is>
          <t>Tree Support; Brückeneinstellungen an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n">
        <v>5</v>
      </c>
      <c r="L6" s="3" t="inlineStr">
        <is>
          <t>Gelenkachse senkrecht</t>
        </is>
      </c>
      <c r="M6" s="3" t="inlineStr">
        <is>
          <t>Tree Support; Brückeneinstellungen an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n">
        <v>5</v>
      </c>
      <c r="L7" s="3" t="inlineStr">
        <is>
          <t>Gelenkachse senkrecht</t>
        </is>
      </c>
      <c r="M7" s="3" t="inlineStr">
        <is>
          <t>Tree Support; Brückeneinstellungen an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</t>
        </is>
      </c>
      <c r="K8" s="3" t="n">
        <v>5</v>
      </c>
      <c r="L8" s="3" t="inlineStr">
        <is>
          <t>Öffnung nach unten</t>
        </is>
      </c>
      <c r="M8" s="3" t="inlineStr">
        <is>
          <t>keine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n">
        <v>2</v>
      </c>
      <c r="L9" s="3" t="inlineStr">
        <is>
          <t>flach</t>
        </is>
      </c>
      <c r="M9" s="3" t="inlineStr">
        <is>
          <t>keine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n">
        <v>2</v>
      </c>
      <c r="L10" s="3" t="inlineStr">
        <is>
          <t>flach</t>
        </is>
      </c>
      <c r="M10" s="3" t="inlineStr">
        <is>
          <t>keine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40 % Gyroid</t>
        </is>
      </c>
      <c r="K11" s="3" t="n">
        <v>4</v>
      </c>
      <c r="L11" s="3" t="inlineStr">
        <is>
          <t>Unterseite aufs Bett</t>
        </is>
      </c>
      <c r="M11" s="3" t="inlineStr">
        <is>
          <t>keine; Brim 8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40 % Gyroid</t>
        </is>
      </c>
      <c r="K12" s="3" t="n">
        <v>4</v>
      </c>
      <c r="L12" s="3" t="inlineStr">
        <is>
          <t>Oberseite aufs Bett (Stoßzunge oben flach)</t>
        </is>
      </c>
      <c r="M12" s="3" t="inlineStr">
        <is>
          <t>keine; Brim 8 mm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40 % Gyroid</t>
        </is>
      </c>
      <c r="K13" s="3" t="n">
        <v>4</v>
      </c>
      <c r="L13" s="3" t="inlineStr">
        <is>
          <t>Unterseite aufs Bett</t>
        </is>
      </c>
      <c r="M13" s="3" t="inlineStr">
        <is>
          <t>keine; Brim 8 mm; M2-Bunde für 4 Bein-Platinen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87.70999999999999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40 % Gyroid</t>
        </is>
      </c>
      <c r="K14" s="3" t="n">
        <v>4</v>
      </c>
      <c r="L14" s="3" t="inlineStr">
        <is>
          <t>Unterseite aufs Bett</t>
        </is>
      </c>
      <c r="M14" s="3" t="inlineStr">
        <is>
          <t>flache Stütze nur unter der Stoßzunge (sonst Support-Blocker); Brim 8 mm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40 % Gyroid</t>
        </is>
      </c>
      <c r="K15" s="3" t="n">
        <v>4</v>
      </c>
      <c r="L15" s="3" t="inlineStr">
        <is>
          <t>Frontfläche aufs Bett</t>
        </is>
      </c>
      <c r="M15" s="3" t="inlineStr">
        <is>
          <t>keine; Brim 6–8 mm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n">
        <v>4</v>
      </c>
      <c r="L16" s="3" t="inlineStr">
        <is>
          <t>Laschen aufs Bett</t>
        </is>
      </c>
      <c r="M16" s="3" t="inlineStr">
        <is>
          <t>keine; Tunnel als kurze Brücken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</t>
        </is>
      </c>
      <c r="K17" s="3" t="n">
        <v>4</v>
      </c>
      <c r="L17" s="3" t="inlineStr">
        <is>
          <t>stehend, Kopf aufs Bett</t>
        </is>
      </c>
      <c r="M17" s="3" t="inlineStr">
        <is>
          <t>keine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(Gitter)</t>
        </is>
      </c>
      <c r="K18" s="3" t="n">
        <v>4</v>
      </c>
      <c r="L18" s="3" t="inlineStr">
        <is>
          <t>Grundfläche aufs Bett</t>
        </is>
      </c>
      <c r="M18" s="3" t="inlineStr">
        <is>
          <t>keine; Dachunterseite 50°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(Gitter)</t>
        </is>
      </c>
      <c r="K19" s="3" t="n">
        <v>4</v>
      </c>
      <c r="L19" s="3" t="inlineStr">
        <is>
          <t>Grundfläche aufs Bett</t>
        </is>
      </c>
      <c r="M19" s="3" t="inlineStr">
        <is>
          <t>keine; Dachunterseite 50°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40 %</t>
        </is>
      </c>
      <c r="K20" s="3" t="n">
        <v>4</v>
      </c>
      <c r="L20" s="3" t="inlineStr">
        <is>
          <t>flach, Bunde nach oben</t>
        </is>
      </c>
      <c r="M20" s="3" t="inlineStr">
        <is>
          <t>keine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40 %</t>
        </is>
      </c>
      <c r="K21" s="3" t="n">
        <v>4</v>
      </c>
      <c r="L21" s="3" t="inlineStr">
        <is>
          <t>Deck aufs Bett, Bunde nach oben</t>
        </is>
      </c>
      <c r="M21" s="3" t="inlineStr">
        <is>
          <t>keine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n">
        <v>4</v>
      </c>
      <c r="L22" s="3" t="inlineStr">
        <is>
          <t>stehend</t>
        </is>
      </c>
      <c r="M22" s="3" t="inlineStr">
        <is>
          <t>keine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n">
        <v>4</v>
      </c>
      <c r="L23" s="3" t="inlineStr">
        <is>
          <t>stehend</t>
        </is>
      </c>
      <c r="M23" s="3" t="inlineStr">
        <is>
          <t>keine; Bohrung bei Bedarf auf 2,8–3 mm aufbohren</t>
        </is>
      </c>
    </row>
    <row r="24">
      <c r="A24" s="3" t="inlineStr">
        <is>
          <t>Taster-Winkel</t>
        </is>
      </c>
      <c r="B24" s="3" t="inlineStr">
        <is>
          <t>Baseplate-Makro V2.10 / Button_Bracket</t>
        </is>
      </c>
      <c r="C24" s="3" t="inlineStr">
        <is>
          <t>PETG</t>
        </is>
      </c>
      <c r="D24" s="7" t="n">
        <v>1</v>
      </c>
      <c r="E24" s="7" t="n">
        <v>2.48</v>
      </c>
      <c r="F24" s="7" t="n">
        <v>1.27</v>
      </c>
      <c r="G24" s="12">
        <f>E24*F24</f>
        <v/>
      </c>
      <c r="H24" s="7" t="n">
        <v>1</v>
      </c>
      <c r="I24" s="13">
        <f>D24*G24*H24</f>
        <v/>
      </c>
      <c r="J24" s="3" t="inlineStr">
        <is>
          <t>100 %</t>
        </is>
      </c>
      <c r="K24" s="3" t="n">
        <v>4</v>
      </c>
      <c r="L24" s="3" t="inlineStr">
        <is>
          <t>Fuß aufs Bett, Blende stehend</t>
        </is>
      </c>
      <c r="M24" s="3" t="inlineStr">
        <is>
          <t>keine</t>
        </is>
      </c>
    </row>
    <row r="25">
      <c r="A25" s="3" t="inlineStr">
        <is>
          <t>ST3215-Dummy (optional)</t>
        </is>
      </c>
      <c r="B25" s="3" t="inlineStr">
        <is>
          <t>Drawings/STL files/ST3215_Dummy.stl</t>
        </is>
      </c>
      <c r="C25" s="3" t="inlineStr">
        <is>
          <t>PETG</t>
        </is>
      </c>
      <c r="D25" s="7" t="n">
        <v>0</v>
      </c>
      <c r="E25" s="7" t="n">
        <v>34.4</v>
      </c>
      <c r="F25" s="7" t="n">
        <v>1.27</v>
      </c>
      <c r="G25" s="12">
        <f>E25*F25</f>
        <v/>
      </c>
      <c r="H25" s="7" t="n">
        <v>0.5</v>
      </c>
      <c r="I25" s="13">
        <f>D25*G25*H25</f>
        <v/>
      </c>
      <c r="J25" s="3" t="inlineStr">
        <is>
          <t>15 %</t>
        </is>
      </c>
      <c r="K25" s="3" t="n">
        <v>3</v>
      </c>
      <c r="L25" s="3" t="inlineStr">
        <is>
          <t>seitlich liegend</t>
        </is>
      </c>
      <c r="M25" s="3" t="inlineStr">
        <is>
          <t>keine; Anzahl nach Bedarf eintragen (Platzhalter für fehlende Coxa-Servos)</t>
        </is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" t="inlineStr">
        <is>
          <t>Summe nach Material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inlineStr">
        <is>
          <t>PETG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SUMIFS(I2:I25,C2:C25,A28)</f>
        <v/>
      </c>
      <c r="J28" s="3" t="n"/>
      <c r="K28" s="3" t="n"/>
      <c r="L28" s="3" t="n"/>
      <c r="M28" s="3" t="n"/>
    </row>
    <row r="29">
      <c r="A29" s="3" t="inlineStr">
        <is>
          <t>TPU 95A</t>
        </is>
      </c>
      <c r="B29" s="3" t="n"/>
      <c r="C29" s="3" t="n"/>
      <c r="D29" s="3" t="n"/>
      <c r="E29" s="3" t="n"/>
      <c r="F29" s="3" t="n"/>
      <c r="G29" s="3" t="n"/>
      <c r="H29" s="3" t="inlineStr">
        <is>
          <t>g gesamt</t>
        </is>
      </c>
      <c r="I29" s="13">
        <f>SUMIFS(I2:I25,C2:C25,A29)</f>
        <v/>
      </c>
      <c r="J29" s="3" t="n"/>
      <c r="K29" s="3" t="n"/>
      <c r="L29" s="3" t="n"/>
      <c r="M29" s="3" t="n"/>
    </row>
    <row r="30">
      <c r="A30" s="3" t="inlineStr">
        <is>
          <t>PLA</t>
        </is>
      </c>
      <c r="B30" s="3" t="n"/>
      <c r="C30" s="3" t="n"/>
      <c r="D30" s="3" t="n"/>
      <c r="E30" s="3" t="n"/>
      <c r="F30" s="3" t="n"/>
      <c r="G30" s="3" t="n"/>
      <c r="H30" s="3" t="inlineStr">
        <is>
          <t>g gesamt</t>
        </is>
      </c>
      <c r="I30" s="13">
        <f>SUMIFS(I2:I25,C2:C25,A30)</f>
        <v/>
      </c>
      <c r="J30" s="3" t="n"/>
      <c r="K30" s="3" t="n"/>
      <c r="L30" s="3" t="n"/>
      <c r="M30" s="3" t="n"/>
    </row>
    <row r="31">
      <c r="A31" s="2" t="inlineStr">
        <is>
          <t>Alle Druckteile</t>
        </is>
      </c>
      <c r="B31" s="3" t="n"/>
      <c r="C31" s="3" t="n"/>
      <c r="D31" s="3" t="n"/>
      <c r="E31" s="3" t="n"/>
      <c r="F31" s="3" t="n"/>
      <c r="G31" s="3" t="n"/>
      <c r="H31" s="3" t="n"/>
      <c r="I31" s="14">
        <f>SUM(I28:I30)</f>
        <v/>
      </c>
      <c r="J31" s="3" t="n"/>
      <c r="K31" s="3" t="n"/>
      <c r="L31" s="3" t="n"/>
      <c r="M3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0" customWidth="1" min="2" max="2"/>
    <col width="24" customWidth="1" min="3" max="3"/>
    <col width="22" customWidth="1" min="4" max="4"/>
  </cols>
  <sheetData>
    <row r="1">
      <c r="A1" s="18" t="inlineStr">
        <is>
          <t>Einstellung</t>
        </is>
      </c>
      <c r="B1" s="18" t="inlineStr">
        <is>
          <t>PETG</t>
        </is>
      </c>
      <c r="C1" s="18" t="inlineStr">
        <is>
          <t>TPU 95A</t>
        </is>
      </c>
      <c r="D1" s="18" t="inlineStr">
        <is>
          <t>PLA</t>
        </is>
      </c>
    </row>
    <row r="2">
      <c r="A2" s="18" t="inlineStr">
        <is>
          <t>Düse</t>
        </is>
      </c>
      <c r="B2" s="19" t="inlineStr">
        <is>
          <t>0,4 mm</t>
        </is>
      </c>
      <c r="C2" s="19" t="inlineStr">
        <is>
          <t>0,4 mm</t>
        </is>
      </c>
      <c r="D2" s="19" t="inlineStr">
        <is>
          <t>0,4 mm</t>
        </is>
      </c>
    </row>
    <row r="3">
      <c r="A3" s="18" t="inlineStr">
        <is>
          <t>Schichthöhe</t>
        </is>
      </c>
      <c r="B3" s="19" t="inlineStr">
        <is>
          <t>0,2 mm (erste Schicht 0,2–0,24 mm)</t>
        </is>
      </c>
      <c r="C3" s="19" t="inlineStr">
        <is>
          <t>0,2 mm</t>
        </is>
      </c>
      <c r="D3" s="19" t="inlineStr">
        <is>
          <t>0,2 mm</t>
        </is>
      </c>
    </row>
    <row r="4">
      <c r="A4" s="18" t="inlineStr">
        <is>
          <t>Düsentemperatur</t>
        </is>
      </c>
      <c r="B4" s="19" t="inlineStr">
        <is>
          <t>235 °C</t>
        </is>
      </c>
      <c r="C4" s="19" t="inlineStr">
        <is>
          <t>225 °C</t>
        </is>
      </c>
      <c r="D4" s="19" t="inlineStr">
        <is>
          <t>210 °C</t>
        </is>
      </c>
    </row>
    <row r="5">
      <c r="A5" s="18" t="inlineStr">
        <is>
          <t>Betttemperatur</t>
        </is>
      </c>
      <c r="B5" s="19" t="inlineStr">
        <is>
          <t>80 °C, große flache Teile 85 °C</t>
        </is>
      </c>
      <c r="C5" s="19" t="inlineStr">
        <is>
          <t>50 °C</t>
        </is>
      </c>
      <c r="D5" s="19" t="inlineStr">
        <is>
          <t>60 °C</t>
        </is>
      </c>
    </row>
    <row r="6">
      <c r="A6" s="18" t="inlineStr">
        <is>
          <t>Lüfter</t>
        </is>
      </c>
      <c r="B6" s="19" t="inlineStr">
        <is>
          <t>erste 3–4 Schichten aus, danach max. 30–40 %</t>
        </is>
      </c>
      <c r="C6" s="19" t="inlineStr">
        <is>
          <t>50 %</t>
        </is>
      </c>
      <c r="D6" s="19" t="inlineStr">
        <is>
          <t>100 % ab Schicht 2</t>
        </is>
      </c>
    </row>
    <row r="7">
      <c r="A7" s="18" t="inlineStr">
        <is>
          <t>Druckgeschwindigkeit</t>
        </is>
      </c>
      <c r="B7" s="19" t="inlineStr">
        <is>
          <t>normal; erste Schicht 20 mm/s</t>
        </is>
      </c>
      <c r="C7" s="19" t="inlineStr">
        <is>
          <t>20–25 mm/s</t>
        </is>
      </c>
      <c r="D7" s="19" t="inlineStr">
        <is>
          <t>normal</t>
        </is>
      </c>
    </row>
    <row r="8">
      <c r="A8" s="18" t="inlineStr">
        <is>
          <t>Erste Schicht</t>
        </is>
      </c>
      <c r="B8" s="19" t="inlineStr">
        <is>
          <t>Linienbreite 120 %, horizontale Ausdehnung −0,1 mm (Elefantenfuß)</t>
        </is>
      </c>
      <c r="C8" s="19" t="inlineStr">
        <is>
          <t>Linienbreite 120 %</t>
        </is>
      </c>
      <c r="D8" s="19" t="inlineStr">
        <is>
          <t>Linienbreite 120 %</t>
        </is>
      </c>
    </row>
    <row r="9">
      <c r="A9" s="18" t="inlineStr">
        <is>
          <t>Löcher</t>
        </is>
      </c>
      <c r="B9" s="19" t="inlineStr">
        <is>
          <t>horizontale Ausdehnung für Löcher +0,1 mm, falls M2/M2,5/M3 zu eng</t>
        </is>
      </c>
      <c r="C9" s="19" t="inlineStr">
        <is>
          <t>–</t>
        </is>
      </c>
      <c r="D9" s="19" t="inlineStr">
        <is>
          <t>–</t>
        </is>
      </c>
    </row>
    <row r="10">
      <c r="A10" s="18" t="inlineStr">
        <is>
          <t>Rückzug (Retract)</t>
        </is>
      </c>
      <c r="B10" s="19" t="inlineStr">
        <is>
          <t>Standard</t>
        </is>
      </c>
      <c r="C10" s="19" t="inlineStr">
        <is>
          <t>kurz (≤ 1 mm) oder aus</t>
        </is>
      </c>
      <c r="D10" s="19" t="inlineStr">
        <is>
          <t>Standard</t>
        </is>
      </c>
    </row>
    <row r="11">
      <c r="A11" s="18" t="inlineStr">
        <is>
          <t>Brücken</t>
        </is>
      </c>
      <c r="B11" s="19" t="inlineStr">
        <is>
          <t>Brückeneinstellungen an: Wand/Haut 20–25 mm/s, Lüfter Brücke 100 %, Haut-Fluss 100 % (bei Durchhängen 90 %), mehrere Brückenschichten an</t>
        </is>
      </c>
      <c r="C11" s="19" t="inlineStr">
        <is>
          <t>–</t>
        </is>
      </c>
      <c r="D11" s="19" t="inlineStr">
        <is>
          <t>–</t>
        </is>
      </c>
    </row>
    <row r="12">
      <c r="A12" s="18" t="inlineStr">
        <is>
          <t>Wände (Standard)</t>
        </is>
      </c>
      <c r="B12" s="19" t="inlineStr">
        <is>
          <t>4 Linien (1,6 mm); Bein-Rohre 5 Linien = 2 mm</t>
        </is>
      </c>
      <c r="C12" s="19" t="inlineStr">
        <is>
          <t>5 Linien</t>
        </is>
      </c>
      <c r="D12" s="19" t="inlineStr">
        <is>
          <t>2 Linien</t>
        </is>
      </c>
    </row>
    <row r="13">
      <c r="A13" s="18" t="inlineStr">
        <is>
          <t>Deck-/Bodenschichten</t>
        </is>
      </c>
      <c r="B13" s="19" t="inlineStr">
        <is>
          <t>je 5 (1 mm)</t>
        </is>
      </c>
      <c r="C13" s="19" t="inlineStr">
        <is>
          <t>je 4</t>
        </is>
      </c>
      <c r="D13" s="19" t="inlineStr">
        <is>
          <t>je 4</t>
        </is>
      </c>
    </row>
    <row r="14">
      <c r="A14" s="18" t="inlineStr">
        <is>
          <t>Haftung</t>
        </is>
      </c>
      <c r="B14" s="19" t="inlineStr">
        <is>
          <t>Brim bei großen flachen Teilen (Platten 8 mm, Kamerahalter 6–8 mm), sonst keine</t>
        </is>
      </c>
      <c r="C14" s="19" t="inlineStr">
        <is>
          <t>keine</t>
        </is>
      </c>
      <c r="D14" s="19" t="inlineStr">
        <is>
          <t>keine</t>
        </is>
      </c>
    </row>
    <row r="15">
      <c r="A15" s="18" t="inlineStr">
        <is>
          <t>Umgebung</t>
        </is>
      </c>
      <c r="B15" s="19" t="inlineStr">
        <is>
          <t>kein Luftzug; Teil auf dem Bett abkühlen lassen</t>
        </is>
      </c>
      <c r="C15" s="19" t="inlineStr">
        <is>
          <t>–</t>
        </is>
      </c>
      <c r="D15" s="19" t="inlineStr">
        <is>
          <t>–</t>
        </is>
      </c>
    </row>
    <row r="16">
      <c r="A16" s="18" t="inlineStr">
        <is>
          <t>Kernlöcher</t>
        </is>
      </c>
      <c r="B16" s="19" t="inlineStr">
        <is>
          <t>M2 = 1,7 mm, M2,5 = 2,1 mm: Wandzahl ist wichtiger als Füllung</t>
        </is>
      </c>
      <c r="C16" s="19" t="inlineStr">
        <is>
          <t>–</t>
        </is>
      </c>
      <c r="D16" s="19" t="inlineStr">
        <is>
          <t>–</t>
        </is>
      </c>
    </row>
    <row r="17">
      <c r="A17" s="18" t="inlineStr">
        <is>
          <t>Kleinteile</t>
        </is>
      </c>
      <c r="B17" s="19" t="inlineStr">
        <is>
          <t>mehrere 100-%-Teile zusammen auf eine Platte (Kühlzeit je Schicht)</t>
        </is>
      </c>
      <c r="C17" s="19" t="inlineStr">
        <is>
          <t>–</t>
        </is>
      </c>
      <c r="D17" s="19" t="inlineStr">
        <is>
          <t>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Druckteile!I31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2026-10-26T16:07:02Z</dcterms:modified>
  <cp:lastModifiedBy>Marco Vorbach</cp:lastModifiedBy>
</cp:coreProperties>
</file>