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Bestellliste" sheetId="3" state="visible" r:id="rId3"/>
    <sheet xmlns:r="http://schemas.openxmlformats.org/officeDocument/2006/relationships" name="Druckteile" sheetId="4" state="visible" r:id="rId4"/>
    <sheet xmlns:r="http://schemas.openxmlformats.org/officeDocument/2006/relationships" name="Druckeinstellungen" sheetId="5" state="visible" r:id="rId5"/>
    <sheet xmlns:r="http://schemas.openxmlformats.org/officeDocument/2006/relationships" name="Gewicht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9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  <font>
      <i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  <xf numFmtId="0" fontId="6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1" t="inlineStr">
        <is>
          <t>Druckeinstellungen</t>
        </is>
      </c>
      <c r="B2" t="inlineStr">
        <is>
          <t>Blatt Druckeinstellungen: Werte, die für alle Teile eines Materials gelten. Teilespezifisches (Füllung, Wände, Ausrichtung, Stützen) im Blatt Druckteile.</t>
        </is>
      </c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inlineStr">
        <is>
          <t>Bestellliste</t>
        </is>
      </c>
      <c r="B6" s="3" t="inlineStr">
        <is>
          <t>Blatt Bestellliste: Schrauben und Elektronik geordnet, Mengen inkl. Reserve per Formel aus Kaufteile, Status ebenfalls aus Kaufteile.</t>
        </is>
      </c>
    </row>
    <row r="7">
      <c r="A7" s="2" t="inlineStr">
        <is>
          <t>Stand</t>
        </is>
      </c>
      <c r="B7" s="3" t="inlineStr">
        <is>
          <t>Konstruktion: Bein V9.1 (Femur 150, Tibia 175, Knick 38,6°), Baseplates V2.7 (DC-DC, Modulplätze, Steckerhalter, Akku-Riegel), Kamerahalter V1.5, Panzer V1.1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inlineStr">
        <is>
          <t>vorhanden</t>
        </is>
      </c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inlineStr">
        <is>
          <t>vorhanden</t>
        </is>
      </c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inlineStr">
        <is>
          <t>vorhanden</t>
        </is>
      </c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MCP23017-E (Modul/Breakout)</t>
        </is>
      </c>
      <c r="D8" s="3" t="inlineStr">
        <is>
          <t>auf Hub-Platine B (seitliche Stiftleiste); Adresse 0x20 (A0–A2 auf GND); Füße an PA0–5, ITA -&gt; IO34; ~7,30 €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Steuerung</t>
        </is>
      </c>
      <c r="C10" s="3" t="inlineStr">
        <is>
          <t>Drucktaster 12 mm, Einbau, Schließer (Metall, IP65)</t>
        </is>
      </c>
      <c r="D10" s="3" t="inlineStr">
        <is>
          <t>Ein/Aus: weckt ESP32 aus dem Deep Sleep (IO35), kurz = aus, 5 s = Notaus; Gewindelänge &gt;= 6 mm, Kopf-Ø &lt;= 15 mm</t>
        </is>
      </c>
      <c r="E10" s="7" t="n">
        <v>1</v>
      </c>
      <c r="F10" s="7" t="n">
        <v>0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Widerstand 10 kΩ</t>
        </is>
      </c>
      <c r="D11" s="3" t="inlineStr">
        <is>
          <t>Pull-ups Fußkontakte (6) + Ein/Aus-Taster an IO35 (1)</t>
        </is>
      </c>
      <c r="E11" s="7" t="n">
        <v>7</v>
      </c>
      <c r="F11" s="7" t="n">
        <v>4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Verdrahtung</t>
        </is>
      </c>
      <c r="C12" s="3" t="inlineStr">
        <is>
          <t>WS2812B-LED-Streifen (optional)</t>
        </is>
      </c>
      <c r="D12" s="3" t="inlineStr">
        <is>
          <t>Daten an IO4; 5 V vom Treiber (bis ~10 LEDs) oder vom DC-DC</t>
        </is>
      </c>
      <c r="E12" s="7" t="n">
        <v>1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IMX296 Kamera-Modul mit ext. Trigger</t>
        </is>
      </c>
      <c r="D13" s="3" t="inlineStr">
        <is>
          <t>39x39 mm, M12-Halter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inlineStr">
        <is>
          <t>vorhanden</t>
        </is>
      </c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M12-Objektiv 2,8 mm (ZH3019-14)</t>
        </is>
      </c>
      <c r="D14" s="3" t="inlineStr">
        <is>
          <t>F2.2, 1/2.7"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CSI-Kabel Pi 5 (22-pol auf 15-pol), ca. 200 mm</t>
        </is>
      </c>
      <c r="D15" s="3" t="inlineStr">
        <is>
          <t>Kamera -&gt; Pi 5 CAM0/CAM1</t>
        </is>
      </c>
      <c r="E15" s="7" t="n">
        <v>2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Trigger-Verteilerplatine</t>
        </is>
      </c>
      <c r="D16" s="3" t="inlineStr">
        <is>
          <t>Eigenbau, 20x22 mm</t>
        </is>
      </c>
      <c r="E16" s="7" t="n">
        <v>1</v>
      </c>
      <c r="F16" s="7" t="n">
        <v>0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Sensorik</t>
        </is>
      </c>
      <c r="C17" s="3" t="inlineStr">
        <is>
          <t>Mikroschalter D2F (oder ähnlich)</t>
        </is>
      </c>
      <c r="D17" s="3" t="inlineStr">
        <is>
          <t>Fußkontakt; Maße im Bein-Makro (sw_*) anpassen</t>
        </is>
      </c>
      <c r="E17" s="7" t="n">
        <v>6</v>
      </c>
      <c r="F17" s="7" t="n">
        <v>2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Sensorik</t>
        </is>
      </c>
      <c r="C18" s="3" t="inlineStr">
        <is>
          <t>IMU ICM-20948 (Pimoroni-Breakout)</t>
        </is>
      </c>
      <c r="D18" s="3" t="inlineStr">
        <is>
          <t>vorhanden (vom alten Kameramodul); oben auf dem Kamerahalter, I²C am Pi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inlineStr">
        <is>
          <t>vorhanden</t>
        </is>
      </c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LiPo ZEEE 3S 9000 mAh</t>
        </is>
      </c>
      <c r="D19" s="3" t="inlineStr">
        <is>
          <t>ca. 170x50x32 mm, Deans (Buchse am Akku)</t>
        </is>
      </c>
      <c r="E19" s="7" t="n">
        <v>1</v>
      </c>
      <c r="F19" s="7" t="n">
        <v>0</v>
      </c>
      <c r="G19" s="3">
        <f>E19+F19</f>
        <v/>
      </c>
      <c r="H19" s="8" t="n"/>
      <c r="I19" s="9">
        <f>IF(H19="","",G19*H19)</f>
        <v/>
      </c>
      <c r="J19" s="10" t="inlineStr">
        <is>
          <t>vorhanden</t>
        </is>
      </c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BMS 3S (Daly 12 V 60 A oder 30–40 A)</t>
        </is>
      </c>
      <c r="D20" s="3" t="inlineStr">
        <is>
          <t>kleineres BMS reicht (Mittel ~10 A, Spitzen 20–30 A)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Flachsicherung 30 A + Inline-Halter</t>
        </is>
      </c>
      <c r="D21" s="3" t="inlineStr">
        <is>
          <t>F1 in der Plusleitung Deans -&gt; Power-Board; Standard-Flachsicherung (ATO), Halter mit Litze ≥ AWG14 (z. B. Neuftech 30 A wasserdicht); Reserve = Ersatzsicherung gleicher Bauform</t>
        </is>
      </c>
      <c r="E21" s="7" t="n">
        <v>1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Relaismodul 8-Kanal</t>
        </is>
      </c>
      <c r="D22" s="3" t="inlineStr">
        <is>
          <t>8× SRD-05VDC-SL-C (10 A): K1 12 V -&gt; DC-DC (Pi), K2–K7 je ein Bein, K8 frei; Jumper JD-VCC ziehen (VCC 3,3 V, JD-VCC 5 V)</t>
        </is>
      </c>
      <c r="E22" s="7" t="n">
        <v>1</v>
      </c>
      <c r="F22" s="7" t="n">
        <v>0</v>
      </c>
      <c r="G22" s="3">
        <f>E22+F22</f>
        <v/>
      </c>
      <c r="H22" s="8" t="n"/>
      <c r="I22" s="9">
        <f>IF(H22="","",G22*H22)</f>
        <v/>
      </c>
      <c r="J22" s="10" t="inlineStr">
        <is>
          <t>vorhanden</t>
        </is>
      </c>
      <c r="K22" s="10" t="n"/>
    </row>
    <row r="23">
      <c r="A23" s="3" t="n">
        <v>22</v>
      </c>
      <c r="B23" s="3" t="inlineStr">
        <is>
          <t>Energie</t>
        </is>
      </c>
      <c r="C23" s="3" t="inlineStr">
        <is>
          <t>Deans-T-Stecker (Stifte, Robot-Seite)</t>
        </is>
      </c>
      <c r="D23" s="3" t="inlineStr">
        <is>
          <t>Gegenstück zur Deans-Buchse am Akku; sitzt im Steckerhalter (untere Platte hinten)</t>
        </is>
      </c>
      <c r="E23" s="7" t="n">
        <v>1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Energie</t>
        </is>
      </c>
      <c r="C24" s="3" t="inlineStr">
        <is>
          <t>Litze AWG20 rot/schwarz (m)</t>
        </is>
      </c>
      <c r="D24" s="3" t="inlineStr">
        <is>
          <t>vorhanden; je Bein 12 V (von Kx NO) + GND, Relais-COM, DC-DC, Pi-5V (je Pol 2 Adern)</t>
        </is>
      </c>
      <c r="E24" s="7" t="n">
        <v>12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inlineStr">
        <is>
          <t>vorhanden</t>
        </is>
      </c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Bein-Platine A (Lochraster ½ 3×7 cm)</t>
        </is>
      </c>
      <c r="D25" s="3" t="inlineStr">
        <is>
          <t>Eigenbau, Layout Documentation/Wiring</t>
        </is>
      </c>
      <c r="E25" s="7" t="n">
        <v>6</v>
      </c>
      <c r="F25" s="7" t="n">
        <v>1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JST-XH 2,54 Steckverbinder-Sortiment</t>
        </is>
      </c>
      <c r="D26" s="3" t="n"/>
      <c r="E26" s="7" t="n">
        <v>1</v>
      </c>
      <c r="F26" s="7" t="n">
        <v>0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Dupont-Kabel (Trigger/Strobe)</t>
        </is>
      </c>
      <c r="D27" s="3" t="inlineStr">
        <is>
          <t>Kameras &lt;-&gt; Trigger-Platine</t>
        </is>
      </c>
      <c r="E27" s="7" t="n">
        <v>4</v>
      </c>
      <c r="F27" s="7" t="n">
        <v>2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Verdrahtung</t>
        </is>
      </c>
      <c r="C28" s="3" t="inlineStr">
        <is>
          <t>Elko 470 µF / 25 V (radial, low ESR)</t>
        </is>
      </c>
      <c r="D28" s="3" t="inlineStr">
        <is>
          <t>je Bein-Platine, + an 12 V</t>
        </is>
      </c>
      <c r="E28" s="7" t="n">
        <v>6</v>
      </c>
      <c r="F28" s="7" t="n">
        <v>2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Verdrahtung</t>
        </is>
      </c>
      <c r="C29" s="3" t="inlineStr">
        <is>
          <t>Keramikkondensator 100 nF</t>
        </is>
      </c>
      <c r="D29" s="3" t="inlineStr">
        <is>
          <t>Abblockung MCP23017 (Hub)</t>
        </is>
      </c>
      <c r="E29" s="7" t="n">
        <v>1</v>
      </c>
      <c r="F29" s="7" t="n">
        <v>4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Verdrahtung</t>
        </is>
      </c>
      <c r="C30" s="3" t="inlineStr">
        <is>
          <t>Transistor BC547 (NPN)</t>
        </is>
      </c>
      <c r="D30" s="3" t="inlineStr">
        <is>
          <t>Relais-Adapter: Pi hält K1 (Diode ginge nicht, ausgeschalteter Pi zieht den Eingang)</t>
        </is>
      </c>
      <c r="E30" s="7" t="n">
        <v>1</v>
      </c>
      <c r="F30" s="7" t="n">
        <v>1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Verdrahtung</t>
        </is>
      </c>
      <c r="C31" s="3" t="inlineStr">
        <is>
          <t>Widerstand 4,7 kΩ</t>
        </is>
      </c>
      <c r="D31" s="3" t="inlineStr">
        <is>
          <t>Basiswiderstand BC547</t>
        </is>
      </c>
      <c r="E31" s="7" t="n">
        <v>1</v>
      </c>
      <c r="F31" s="7" t="n">
        <v>2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Verdrahtung</t>
        </is>
      </c>
      <c r="C32" s="3" t="inlineStr">
        <is>
          <t>Stiftleiste 2,54 mm gerade, 40-pol.</t>
        </is>
      </c>
      <c r="D32" s="3" t="inlineStr">
        <is>
          <t>Servo-Anschlüsse Bein-Platinen (18× 3-pol.)</t>
        </is>
      </c>
      <c r="E32" s="7" t="n">
        <v>2</v>
      </c>
      <c r="F32" s="7" t="n">
        <v>0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Verdrahtung</t>
        </is>
      </c>
      <c r="C33" s="3" t="inlineStr">
        <is>
          <t>Buchsenleiste 2,54 mm, 10-pol., gewinkelt</t>
        </is>
      </c>
      <c r="D33" s="3" t="inlineStr">
        <is>
          <t>Relais-Adapter auf die Eingangsstifte des Relaismoduls (nur ~16 mm Höhe frei)</t>
        </is>
      </c>
      <c r="E33" s="7" t="n">
        <v>1</v>
      </c>
      <c r="F33" s="7" t="n">
        <v>0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Verdrahtung</t>
        </is>
      </c>
      <c r="C34" s="3" t="inlineStr">
        <is>
          <t>Lochrasterplatinen AZ-Delivery</t>
        </is>
      </c>
      <c r="D34" s="3" t="inlineStr">
        <is>
          <t>vorhanden: 3× 3×7 (6 Bein-Platinen), 2× 5×7 (Hub, Power), 1× 2×8 (Relais-Adapter)</t>
        </is>
      </c>
      <c r="E34" s="7" t="n">
        <v>1</v>
      </c>
      <c r="F34" s="7" t="n">
        <v>0</v>
      </c>
      <c r="G34" s="3">
        <f>E34+F34</f>
        <v/>
      </c>
      <c r="H34" s="8" t="n"/>
      <c r="I34" s="9">
        <f>IF(H34="","",G34*H34)</f>
        <v/>
      </c>
      <c r="J34" s="10" t="inlineStr">
        <is>
          <t>vorhanden</t>
        </is>
      </c>
      <c r="K34" s="10" t="n"/>
    </row>
    <row r="35">
      <c r="A35" s="3" t="n">
        <v>34</v>
      </c>
      <c r="B35" s="3" t="inlineStr">
        <is>
          <t>Verdrahtung</t>
        </is>
      </c>
      <c r="C35" s="3" t="inlineStr">
        <is>
          <t>Signal-Litze AWG24, mehrere Farben (m)</t>
        </is>
      </c>
      <c r="D35" s="3" t="inlineStr">
        <is>
          <t>für XH-Crimps (AWG20 passt nicht in XH-Kontakte): Hub &lt;-&gt; Beine, I²C, INT, Relais</t>
        </is>
      </c>
      <c r="E35" s="7" t="n">
        <v>10</v>
      </c>
      <c r="F35" s="7" t="n">
        <v>0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Energie</t>
        </is>
      </c>
      <c r="C36" s="3" t="inlineStr">
        <is>
          <t>Litze AWG14 rot/schwarz (m)</t>
        </is>
      </c>
      <c r="D36" s="3" t="inlineStr">
        <is>
          <t>Akku -&gt; Sicherung -&gt; Power-Board, Akku- -&gt; BMS -&gt; Power-Board; alternativ 3× AWG20 parallel</t>
        </is>
      </c>
      <c r="E36" s="7" t="n">
        <v>1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Verdrahtung</t>
        </is>
      </c>
      <c r="C37" s="3" t="inlineStr">
        <is>
          <t>Kupferdraht 1,5 mm² massiv (m)</t>
        </is>
      </c>
      <c r="D37" s="3" t="inlineStr">
        <is>
          <t>Sammelschienen Power-Board (z. B. NYM-Rest)</t>
        </is>
      </c>
      <c r="E37" s="7" t="n">
        <v>0.5</v>
      </c>
      <c r="F37" s="7" t="n">
        <v>0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Verdrahtung</t>
        </is>
      </c>
      <c r="C38" s="3" t="inlineStr">
        <is>
          <t>Kupferdraht verzinnt 0,8 mm (m)</t>
        </is>
      </c>
      <c r="D38" s="3" t="inlineStr">
        <is>
          <t>Schienen Bein-Platinen und Hub</t>
        </is>
      </c>
      <c r="E38" s="7" t="n">
        <v>2</v>
      </c>
      <c r="F38" s="7" t="n">
        <v>0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Verdrahtung</t>
        </is>
      </c>
      <c r="C39" s="3" t="inlineStr">
        <is>
          <t>Servokabel 5264 3-pol.</t>
        </is>
      </c>
      <c r="D39" s="3" t="inlineStr">
        <is>
          <t>H5 -&gt; Hub (nur DATA + GND), ggf. Verlängerung Tibia-Servo</t>
        </is>
      </c>
      <c r="E39" s="7" t="n">
        <v>2</v>
      </c>
      <c r="F39" s="7" t="n">
        <v>2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Zylinderschraube M3x8 (ISO 7380/4762)</t>
        </is>
      </c>
      <c r="D40" s="3" t="inlineStr">
        <is>
          <t>Gabelwange oben -&gt; Horn, 4 je Gelenk; NICHT länger (Servogehäuse)</t>
        </is>
      </c>
      <c r="E40" s="7" t="n">
        <v>72</v>
      </c>
      <c r="F40" s="7" t="n">
        <v>8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Zylinderschraube M3x6</t>
        </is>
      </c>
      <c r="D41" s="3" t="inlineStr">
        <is>
          <t>Gabelwange unten -&gt; Rückscheibe, 4 je Gelenk; nicht länger</t>
        </is>
      </c>
      <c r="E41" s="7" t="n">
        <v>72</v>
      </c>
      <c r="F41" s="7" t="n">
        <v>8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Blechschraube 2x5 (beiliegend bei ST3215)</t>
        </is>
      </c>
      <c r="D42" s="3" t="inlineStr">
        <is>
          <t>Coxa 4 je Servo (Platten), Bein-Servos 2 je Servo</t>
        </is>
      </c>
      <c r="E42" s="7" t="n">
        <v>48</v>
      </c>
      <c r="F42" s="7" t="n">
        <v>0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Zylinderschraube M3x50</t>
        </is>
      </c>
      <c r="D43" s="3" t="inlineStr">
        <is>
          <t>6 Säulen unter den Panzersäulen, von unten in den Gewindeeinsatz</t>
        </is>
      </c>
      <c r="E43" s="7" t="n">
        <v>6</v>
      </c>
      <c r="F43" s="7" t="n">
        <v>1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Gewindeeinsatz M3 (Einschmelzmutter, 5,7 lang, Ø4,6)</t>
        </is>
      </c>
      <c r="D44" s="3" t="inlineStr">
        <is>
          <t>unten in den 6 Panzersäulen</t>
        </is>
      </c>
      <c r="E44" s="7" t="n">
        <v>6</v>
      </c>
      <c r="F44" s="7" t="n">
        <v>2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Verbindung</t>
        </is>
      </c>
      <c r="C45" s="3" t="inlineStr">
        <is>
          <t>Zylinderschraube M3x45</t>
        </is>
      </c>
      <c r="D45" s="3" t="inlineStr">
        <is>
          <t>2 Säulen bei x = -40 (mit Mutter, kein Panzerpfosten)</t>
        </is>
      </c>
      <c r="E45" s="7" t="n">
        <v>2</v>
      </c>
      <c r="F45" s="7" t="n">
        <v>1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Verbindung</t>
        </is>
      </c>
      <c r="C46" s="3" t="inlineStr">
        <is>
          <t>Zylinderschraube M3x12 + Mutter</t>
        </is>
      </c>
      <c r="D46" s="3" t="inlineStr">
        <is>
          <t>Teilungsspant Panzer</t>
        </is>
      </c>
      <c r="E46" s="7" t="n">
        <v>3</v>
      </c>
      <c r="F46" s="7" t="n">
        <v>1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Verbindung</t>
        </is>
      </c>
      <c r="C47" s="3" t="inlineStr">
        <is>
          <t>Zylinderschraube M3x10</t>
        </is>
      </c>
      <c r="D47" s="3" t="inlineStr">
        <is>
          <t>Plattenstoß, 4 je Platte</t>
        </is>
      </c>
      <c r="E47" s="7" t="n">
        <v>8</v>
      </c>
      <c r="F47" s="7" t="n">
        <v>2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Verbindung</t>
        </is>
      </c>
      <c r="C48" s="3" t="inlineStr">
        <is>
          <t>Sicherungsmutter M3 (Nylonring)</t>
        </is>
      </c>
      <c r="D48" s="3" t="inlineStr">
        <is>
          <t>Plattenstoß (8) + 2 Säulen M3x45 (2) + Relais (4)</t>
        </is>
      </c>
      <c r="E48" s="7" t="n">
        <v>14</v>
      </c>
      <c r="F48" s="7" t="n">
        <v>4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Verbindung</t>
        </is>
      </c>
      <c r="C49" s="3" t="inlineStr">
        <is>
          <t>Zylinderschraube M3x14</t>
        </is>
      </c>
      <c r="D49" s="3" t="inlineStr">
        <is>
          <t>Relais auf 5-mm-Bolzen (alternativ M2x14)</t>
        </is>
      </c>
      <c r="E49" s="7" t="n">
        <v>4</v>
      </c>
      <c r="F49" s="7" t="n">
        <v>0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Verbindung</t>
        </is>
      </c>
      <c r="C50" s="3" t="inlineStr">
        <is>
          <t>Zylinderschraube M3x10 + Mutter</t>
        </is>
      </c>
      <c r="D50" s="3" t="inlineStr">
        <is>
          <t>DC-DC-Laschen (2) + Hub-Träger (2) + Steckerhalter Akku (2) + Taster-Winkel (1)</t>
        </is>
      </c>
      <c r="E50" s="7" t="n">
        <v>7</v>
      </c>
      <c r="F50" s="7" t="n">
        <v>2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Verbindung</t>
        </is>
      </c>
      <c r="C51" s="3" t="inlineStr">
        <is>
          <t>Zylinderschraube M2x6</t>
        </is>
      </c>
      <c r="D51" s="3" t="inlineStr">
        <is>
          <t>Kamera-Platinen, direkt ins 1,7-mm-Kernloch</t>
        </is>
      </c>
      <c r="E51" s="7" t="n">
        <v>8</v>
      </c>
      <c r="F51" s="7" t="n">
        <v>2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Verbindung</t>
        </is>
      </c>
      <c r="C52" s="3" t="inlineStr">
        <is>
          <t>Zylinderschraube M2x5</t>
        </is>
      </c>
      <c r="D52" s="3" t="inlineStr">
        <is>
          <t>Lochraster-Platinen: 6× Bein (je 2), Hub (4), Power-Verteiler (2), direkt ins 1,7-mm-Kernloch</t>
        </is>
      </c>
      <c r="E52" s="7" t="n">
        <v>18</v>
      </c>
      <c r="F52" s="7" t="n">
        <v>4</v>
      </c>
      <c r="G52" s="3">
        <f>E52+F52</f>
        <v/>
      </c>
      <c r="H52" s="8" t="n"/>
      <c r="I52" s="9">
        <f>IF(H52="","",G52*H52)</f>
        <v/>
      </c>
      <c r="J52" s="10" t="n"/>
      <c r="K52" s="10" t="n"/>
    </row>
    <row r="53">
      <c r="A53" s="3" t="n">
        <v>52</v>
      </c>
      <c r="B53" s="3" t="inlineStr">
        <is>
          <t>Verbindung</t>
        </is>
      </c>
      <c r="C53" s="3" t="inlineStr">
        <is>
          <t>Zylinderschraube M3x25 + Mutter</t>
        </is>
      </c>
      <c r="D53" s="3" t="inlineStr">
        <is>
          <t>Kamerahalter-Laschen durch Sockel + Platte (Bohrung 3,2 = M3)</t>
        </is>
      </c>
      <c r="E53" s="7" t="n">
        <v>2</v>
      </c>
      <c r="F53" s="7" t="n">
        <v>1</v>
      </c>
      <c r="G53" s="3">
        <f>E53+F53</f>
        <v/>
      </c>
      <c r="H53" s="8" t="n"/>
      <c r="I53" s="9">
        <f>IF(H53="","",G53*H53)</f>
        <v/>
      </c>
      <c r="J53" s="10" t="n"/>
      <c r="K53" s="10" t="n"/>
    </row>
    <row r="54">
      <c r="A54" s="3" t="n">
        <v>53</v>
      </c>
      <c r="B54" s="3" t="inlineStr">
        <is>
          <t>Verbindung</t>
        </is>
      </c>
      <c r="C54" s="3" t="inlineStr">
        <is>
          <t>Zylinderschraube M2,5x16</t>
        </is>
      </c>
      <c r="D54" s="3" t="inlineStr">
        <is>
          <t>Pi 5: von unten durch Platte, gedruckte Hülse und Pi in die Abstandsbolzen des AI HAT+ (ersetzt dessen lange Schrauben)</t>
        </is>
      </c>
      <c r="E54" s="7" t="n">
        <v>4</v>
      </c>
      <c r="F54" s="7" t="n">
        <v>2</v>
      </c>
      <c r="G54" s="3">
        <f>E54+F54</f>
        <v/>
      </c>
      <c r="H54" s="8" t="n"/>
      <c r="I54" s="9">
        <f>IF(H54="","",G54*H54)</f>
        <v/>
      </c>
      <c r="J54" s="10" t="n"/>
      <c r="K54" s="10" t="n"/>
    </row>
    <row r="55">
      <c r="A55" s="3" t="n">
        <v>54</v>
      </c>
      <c r="B55" s="3" t="inlineStr">
        <is>
          <t>Verbindung</t>
        </is>
      </c>
      <c r="C55" s="3" t="inlineStr">
        <is>
          <t>Distanzhülsen M2,5 x 16 (Treiber)</t>
        </is>
      </c>
      <c r="D55" s="3" t="inlineStr">
        <is>
          <t>liegen dem Treiber bei</t>
        </is>
      </c>
      <c r="E55" s="7" t="n">
        <v>4</v>
      </c>
      <c r="F55" s="7" t="n">
        <v>0</v>
      </c>
      <c r="G55" s="3">
        <f>E55+F55</f>
        <v/>
      </c>
      <c r="H55" s="8" t="n"/>
      <c r="I55" s="9">
        <f>IF(H55="","",G55*H55)</f>
        <v/>
      </c>
      <c r="J55" s="10" t="inlineStr">
        <is>
          <t>vorhanden</t>
        </is>
      </c>
      <c r="K55" s="10" t="n"/>
    </row>
    <row r="56">
      <c r="A56" s="3" t="n">
        <v>55</v>
      </c>
      <c r="B56" s="3" t="inlineStr">
        <is>
          <t>Verbindung</t>
        </is>
      </c>
      <c r="C56" s="3" t="inlineStr">
        <is>
          <t>Zylinderschraube M2,5x5</t>
        </is>
      </c>
      <c r="D56" s="3" t="inlineStr">
        <is>
          <t>Treiber-Distanzhülsen, falls keine Schrauben beiliegen</t>
        </is>
      </c>
      <c r="E56" s="7" t="n">
        <v>8</v>
      </c>
      <c r="F56" s="7" t="n">
        <v>2</v>
      </c>
      <c r="G56" s="3">
        <f>E56+F56</f>
        <v/>
      </c>
      <c r="H56" s="8" t="n"/>
      <c r="I56" s="9">
        <f>IF(H56="","",G56*H56)</f>
        <v/>
      </c>
      <c r="J56" s="10" t="n"/>
      <c r="K56" s="10" t="n"/>
    </row>
    <row r="57">
      <c r="A57" s="3" t="n">
        <v>56</v>
      </c>
      <c r="B57" s="3" t="inlineStr">
        <is>
          <t>Verbindung</t>
        </is>
      </c>
      <c r="C57" s="3" t="inlineStr">
        <is>
          <t>Kunststoff-Unterlegscheiben M2/M2,5/M3 (Sortiment)</t>
        </is>
      </c>
      <c r="D57" s="3" t="n"/>
      <c r="E57" s="7" t="n">
        <v>1</v>
      </c>
      <c r="F57" s="7" t="n">
        <v>0</v>
      </c>
      <c r="G57" s="3">
        <f>E57+F57</f>
        <v/>
      </c>
      <c r="H57" s="8" t="n"/>
      <c r="I57" s="9">
        <f>IF(H57="","",G57*H57)</f>
        <v/>
      </c>
      <c r="J57" s="10" t="n"/>
      <c r="K57" s="10" t="n"/>
    </row>
    <row r="58">
      <c r="A58" s="3" t="n">
        <v>57</v>
      </c>
      <c r="B58" s="3" t="inlineStr">
        <is>
          <t>Verbindung</t>
        </is>
      </c>
      <c r="C58" s="3" t="inlineStr">
        <is>
          <t>Federstahldraht 1,2 mm (m)</t>
        </is>
      </c>
      <c r="D58" s="3" t="inlineStr">
        <is>
          <t>Haltestifte Mikroschalter: quer durch Tibia und Schalterlöcher, bündig abknipsen (2 je Fuß); Ersatz: Stahlnagel Ø1,2 oder aufgebogene Büroklammer</t>
        </is>
      </c>
      <c r="E58" s="7" t="n">
        <v>0.5</v>
      </c>
      <c r="F58" s="7" t="n">
        <v>0</v>
      </c>
      <c r="G58" s="3">
        <f>E58+F58</f>
        <v/>
      </c>
      <c r="H58" s="8" t="n"/>
      <c r="I58" s="9">
        <f>IF(H58="","",G58*H58)</f>
        <v/>
      </c>
      <c r="J58" s="10" t="n"/>
      <c r="K58" s="10" t="n"/>
    </row>
    <row r="59">
      <c r="A59" s="3" t="n">
        <v>58</v>
      </c>
      <c r="B59" s="3" t="inlineStr">
        <is>
          <t>Kleinteile</t>
        </is>
      </c>
      <c r="C59" s="3" t="inlineStr">
        <is>
          <t>Kabelbinder 2,5 mm</t>
        </is>
      </c>
      <c r="D59" s="3" t="inlineStr">
        <is>
          <t>Kabelösen Femur/Tibia</t>
        </is>
      </c>
      <c r="E59" s="7" t="n">
        <v>50</v>
      </c>
      <c r="F59" s="7" t="n">
        <v>0</v>
      </c>
      <c r="G59" s="3">
        <f>E59+F59</f>
        <v/>
      </c>
      <c r="H59" s="8" t="n"/>
      <c r="I59" s="9">
        <f>IF(H59="","",G59*H59)</f>
        <v/>
      </c>
      <c r="J59" s="10" t="n"/>
      <c r="K59" s="10" t="n"/>
    </row>
    <row r="60">
      <c r="A60" s="3" t="n">
        <v>59</v>
      </c>
      <c r="B60" s="3" t="inlineStr">
        <is>
          <t>Kleinteile</t>
        </is>
      </c>
      <c r="C60" s="3" t="inlineStr">
        <is>
          <t>Klettband 20 mm (m)</t>
        </is>
      </c>
      <c r="D60" s="3" t="inlineStr">
        <is>
          <t>Batterie 2 Gurte, BMS 1 Gurt</t>
        </is>
      </c>
      <c r="E60" s="7" t="n">
        <v>1</v>
      </c>
      <c r="F60" s="7" t="n">
        <v>0</v>
      </c>
      <c r="G60" s="3">
        <f>E60+F60</f>
        <v/>
      </c>
      <c r="H60" s="8" t="n"/>
      <c r="I60" s="9">
        <f>IF(H60="","",G60*H60)</f>
        <v/>
      </c>
      <c r="J60" s="10" t="n"/>
      <c r="K60" s="10" t="n"/>
    </row>
    <row r="61">
      <c r="A61" s="3" t="n">
        <v>60</v>
      </c>
      <c r="B61" s="3" t="inlineStr">
        <is>
          <t>Kleinteile</t>
        </is>
      </c>
      <c r="C61" s="3" t="inlineStr">
        <is>
          <t>Moosgummi EPDM 5 mm, selbstklebend (Streifen, ca. 20 mm breit)</t>
        </is>
      </c>
      <c r="D61" s="3" t="inlineStr">
        <is>
          <t>Akku: Streifen unter die obere Platte (Spalt 4,1 mm) gegen Klappern; 1 Stück 20x20 mit Ø9-Loch unter den Kopf des Akku-Riegels</t>
        </is>
      </c>
      <c r="E61" s="7" t="n">
        <v>1</v>
      </c>
      <c r="F61" s="7" t="n">
        <v>0</v>
      </c>
      <c r="G61" s="3">
        <f>E61+F61</f>
        <v/>
      </c>
      <c r="H61" s="8" t="n"/>
      <c r="I61" s="9">
        <f>IF(H61="","",G61*H61)</f>
        <v/>
      </c>
      <c r="J61" s="10" t="n"/>
      <c r="K61" s="10" t="n"/>
    </row>
    <row r="62">
      <c r="A62" s="3" t="n">
        <v>61</v>
      </c>
      <c r="B62" s="3" t="inlineStr">
        <is>
          <t>Kleinteile</t>
        </is>
      </c>
      <c r="C62" s="3" t="inlineStr">
        <is>
          <t>Doppelseitiges Klebeband</t>
        </is>
      </c>
      <c r="D62" s="3" t="inlineStr">
        <is>
          <t>Trigger-Platine</t>
        </is>
      </c>
      <c r="E62" s="7" t="n">
        <v>1</v>
      </c>
      <c r="F62" s="7" t="n">
        <v>0</v>
      </c>
      <c r="G62" s="3">
        <f>E62+F62</f>
        <v/>
      </c>
      <c r="H62" s="8" t="n"/>
      <c r="I62" s="9">
        <f>IF(H62="","",G62*H62)</f>
        <v/>
      </c>
      <c r="J62" s="10" t="n"/>
      <c r="K62" s="10" t="n"/>
    </row>
    <row r="63">
      <c r="A63" s="3" t="n">
        <v>62</v>
      </c>
      <c r="B63" s="3" t="inlineStr">
        <is>
          <t>Kleinteile</t>
        </is>
      </c>
      <c r="C63" s="3" t="inlineStr">
        <is>
          <t>2K-Epoxid oder Sekundenkleber + Primer</t>
        </is>
      </c>
      <c r="D63" s="3" t="inlineStr">
        <is>
          <t>Zierleisten</t>
        </is>
      </c>
      <c r="E63" s="7" t="n">
        <v>1</v>
      </c>
      <c r="F63" s="7" t="n">
        <v>0</v>
      </c>
      <c r="G63" s="3">
        <f>E63+F63</f>
        <v/>
      </c>
      <c r="H63" s="8" t="n"/>
      <c r="I63" s="9">
        <f>IF(H63="","",G63*H63)</f>
        <v/>
      </c>
      <c r="J63" s="10" t="n"/>
      <c r="K63" s="10" t="n"/>
    </row>
    <row r="64">
      <c r="A64" s="3" t="n">
        <v>63</v>
      </c>
      <c r="B64" s="3" t="inlineStr">
        <is>
          <t>Filament</t>
        </is>
      </c>
      <c r="C64" s="3" t="inlineStr">
        <is>
          <t>PETG schwarz (kg)</t>
        </is>
      </c>
      <c r="D64" s="3" t="inlineStr">
        <is>
          <t>siehe Blatt Druckteile; inkl. Probedrucke</t>
        </is>
      </c>
      <c r="E64" s="7" t="n">
        <v>2</v>
      </c>
      <c r="F64" s="7" t="n">
        <v>0</v>
      </c>
      <c r="G64" s="3">
        <f>E64+F64</f>
        <v/>
      </c>
      <c r="H64" s="8" t="n"/>
      <c r="I64" s="9">
        <f>IF(H64="","",G64*H64)</f>
        <v/>
      </c>
      <c r="J64" s="10" t="n"/>
      <c r="K64" s="10" t="n"/>
    </row>
    <row r="65">
      <c r="A65" s="3" t="n">
        <v>64</v>
      </c>
      <c r="B65" s="3" t="inlineStr">
        <is>
          <t>Filament</t>
        </is>
      </c>
      <c r="C65" s="3" t="inlineStr">
        <is>
          <t>TPU 95A (kg)</t>
        </is>
      </c>
      <c r="D65" s="3" t="inlineStr">
        <is>
          <t>Füße</t>
        </is>
      </c>
      <c r="E65" s="7" t="n">
        <v>0.25</v>
      </c>
      <c r="F65" s="7" t="n">
        <v>0</v>
      </c>
      <c r="G65" s="3">
        <f>E65+F65</f>
        <v/>
      </c>
      <c r="H65" s="8" t="n"/>
      <c r="I65" s="9">
        <f>IF(H65="","",G65*H65)</f>
        <v/>
      </c>
      <c r="J65" s="10" t="n"/>
      <c r="K65" s="10" t="n"/>
    </row>
    <row r="66">
      <c r="A66" s="3" t="n">
        <v>65</v>
      </c>
      <c r="B66" s="3" t="inlineStr">
        <is>
          <t>Filament</t>
        </is>
      </c>
      <c r="C66" s="3" t="inlineStr">
        <is>
          <t>PLA orange (kg)</t>
        </is>
      </c>
      <c r="D66" s="3" t="inlineStr">
        <is>
          <t>Zierleisten</t>
        </is>
      </c>
      <c r="E66" s="7" t="n">
        <v>0.1</v>
      </c>
      <c r="F66" s="7" t="n">
        <v>0</v>
      </c>
      <c r="G66" s="3">
        <f>E66+F66</f>
        <v/>
      </c>
      <c r="H66" s="8" t="n"/>
      <c r="I66" s="9">
        <f>IF(H66="","",G66*H66)</f>
        <v/>
      </c>
      <c r="J66" s="10" t="n"/>
      <c r="K66" s="10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2" t="inlineStr">
        <is>
          <t>Summe</t>
        </is>
      </c>
      <c r="I68" s="11">
        <f>SUM(I2:I66)</f>
        <v/>
      </c>
      <c r="J68" s="3" t="n"/>
      <c r="K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inlineStr">
        <is>
          <t>Preise erfasst</t>
        </is>
      </c>
      <c r="I69" s="3">
        <f>COUNT(H2:H66)&amp;" von 65"</f>
        <v/>
      </c>
      <c r="J69" s="3" t="n"/>
      <c r="K69" s="3" t="n"/>
    </row>
  </sheetData>
  <dataValidations count="1">
    <dataValidation sqref="J2:J66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13" customWidth="1" min="3" max="3"/>
    <col width="12" customWidth="1" min="4" max="4"/>
    <col width="62" customWidth="1" min="5" max="5"/>
  </cols>
  <sheetData>
    <row r="1">
      <c r="A1" s="20" t="inlineStr">
        <is>
          <t>Bestellliste – Mengen inkl. Reserve, rechnen aus dem Blatt Kaufteile (Spalte Bestellmenge). Status aus Kaufteile.</t>
        </is>
      </c>
    </row>
    <row r="2"/>
    <row r="3">
      <c r="A3" s="21" t="inlineStr">
        <is>
          <t>Schrauben, Muttern, Einsätze</t>
        </is>
      </c>
    </row>
    <row r="4">
      <c r="A4" s="6" t="inlineStr">
        <is>
          <t>Gruppe</t>
        </is>
      </c>
      <c r="B4" s="6" t="inlineStr">
        <is>
          <t>Teil</t>
        </is>
      </c>
      <c r="C4" s="6" t="inlineStr">
        <is>
          <t>Bestellmenge</t>
        </is>
      </c>
      <c r="D4" s="6" t="inlineStr">
        <is>
          <t>Status</t>
        </is>
      </c>
      <c r="E4" s="6" t="inlineStr">
        <is>
          <t>Verwendung</t>
        </is>
      </c>
    </row>
    <row r="5">
      <c r="A5" s="19" t="inlineStr">
        <is>
          <t>Blechschraube</t>
        </is>
      </c>
      <c r="B5" s="19" t="inlineStr">
        <is>
          <t>Blechschraube 2x5 (beiliegend bei ST3215)</t>
        </is>
      </c>
      <c r="C5" s="19">
        <f>SUMIF(Kaufteile!$C:$C,"Blechschraube 2x5 (beiliegend bei ST3215)",Kaufteile!$G:$G)</f>
        <v/>
      </c>
      <c r="D5" s="19">
        <f>IFERROR(IF(INDEX(Kaufteile!$J:$J,MATCH("Blechschraube 2x5 (beiliegend bei ST3215)",Kaufteile!$C:$C,0))="","",INDEX(Kaufteile!$J:$J,MATCH("Blechschraube 2x5 (beiliegend bei ST3215)",Kaufteile!$C:$C,0))),"")</f>
        <v/>
      </c>
      <c r="E5" s="19" t="inlineStr">
        <is>
          <t>Coxa-Servos an den Platten (4 je Servo), Bein-Servos unten (2 je Servo); liegen den Servos bei</t>
        </is>
      </c>
    </row>
    <row r="6">
      <c r="A6" s="19" t="inlineStr">
        <is>
          <t>M2</t>
        </is>
      </c>
      <c r="B6" s="19" t="inlineStr">
        <is>
          <t>Zylinderschraube M2x5</t>
        </is>
      </c>
      <c r="C6" s="19">
        <f>SUMIF(Kaufteile!$C:$C,"Zylinderschraube M2x5",Kaufteile!$G:$G)</f>
        <v/>
      </c>
      <c r="D6" s="19">
        <f>IFERROR(IF(INDEX(Kaufteile!$J:$J,MATCH("Zylinderschraube M2x5",Kaufteile!$C:$C,0))="","",INDEX(Kaufteile!$J:$J,MATCH("Zylinderschraube M2x5",Kaufteile!$C:$C,0))),"")</f>
        <v/>
      </c>
      <c r="E6" s="19" t="inlineStr">
        <is>
          <t>Lochraster-Platinen in 1,7-mm-Kernlöcher</t>
        </is>
      </c>
    </row>
    <row r="7">
      <c r="A7" s="19" t="inlineStr">
        <is>
          <t>M2</t>
        </is>
      </c>
      <c r="B7" s="19" t="inlineStr">
        <is>
          <t>Zylinderschraube M2x6</t>
        </is>
      </c>
      <c r="C7" s="19">
        <f>SUMIF(Kaufteile!$C:$C,"Zylinderschraube M2x6",Kaufteile!$G:$G)</f>
        <v/>
      </c>
      <c r="D7" s="19">
        <f>IFERROR(IF(INDEX(Kaufteile!$J:$J,MATCH("Zylinderschraube M2x6",Kaufteile!$C:$C,0))="","",INDEX(Kaufteile!$J:$J,MATCH("Zylinderschraube M2x6",Kaufteile!$C:$C,0))),"")</f>
        <v/>
      </c>
      <c r="E7" s="19" t="inlineStr">
        <is>
          <t>Kamera-Platinen in 1,7-mm-Kernlöcher</t>
        </is>
      </c>
    </row>
    <row r="8">
      <c r="A8" s="19" t="inlineStr">
        <is>
          <t>M2,5</t>
        </is>
      </c>
      <c r="B8" s="19" t="inlineStr">
        <is>
          <t>Zylinderschraube M2,5x5</t>
        </is>
      </c>
      <c r="C8" s="19">
        <f>SUMIF(Kaufteile!$C:$C,"Zylinderschraube M2,5x5",Kaufteile!$G:$G)</f>
        <v/>
      </c>
      <c r="D8" s="19">
        <f>IFERROR(IF(INDEX(Kaufteile!$J:$J,MATCH("Zylinderschraube M2,5x5",Kaufteile!$C:$C,0))="","",INDEX(Kaufteile!$J:$J,MATCH("Zylinderschraube M2,5x5",Kaufteile!$C:$C,0))),"")</f>
        <v/>
      </c>
      <c r="E8" s="19" t="inlineStr">
        <is>
          <t>Treiber auf Distanzhülsen (nur falls nicht beiliegend)</t>
        </is>
      </c>
    </row>
    <row r="9">
      <c r="A9" s="19" t="inlineStr">
        <is>
          <t>M2,5</t>
        </is>
      </c>
      <c r="B9" s="19" t="inlineStr">
        <is>
          <t>Zylinderschraube M2,5x16</t>
        </is>
      </c>
      <c r="C9" s="19">
        <f>SUMIF(Kaufteile!$C:$C,"Zylinderschraube M2,5x16",Kaufteile!$G:$G)</f>
        <v/>
      </c>
      <c r="D9" s="19">
        <f>IFERROR(IF(INDEX(Kaufteile!$J:$J,MATCH("Zylinderschraube M2,5x16",Kaufteile!$C:$C,0))="","",INDEX(Kaufteile!$J:$J,MATCH("Zylinderschraube M2,5x16",Kaufteile!$C:$C,0))),"")</f>
        <v/>
      </c>
      <c r="E9" s="19" t="inlineStr">
        <is>
          <t>Pi 5 durch Platte + gedruckte Hülse in die HAT-Bolzen</t>
        </is>
      </c>
    </row>
    <row r="10">
      <c r="A10" s="19" t="inlineStr">
        <is>
          <t>M3</t>
        </is>
      </c>
      <c r="B10" s="19" t="inlineStr">
        <is>
          <t>Zylinderschraube M3x6</t>
        </is>
      </c>
      <c r="C10" s="19">
        <f>SUMIF(Kaufteile!$C:$C,"Zylinderschraube M3x6",Kaufteile!$G:$G)</f>
        <v/>
      </c>
      <c r="D10" s="19">
        <f>IFERROR(IF(INDEX(Kaufteile!$J:$J,MATCH("Zylinderschraube M3x6",Kaufteile!$C:$C,0))="","",INDEX(Kaufteile!$J:$J,MATCH("Zylinderschraube M3x6",Kaufteile!$C:$C,0))),"")</f>
        <v/>
      </c>
      <c r="E10" s="19" t="inlineStr">
        <is>
          <t>Gabelwange unten -&gt; Servo-Rückscheibe, 4 je Gelenk</t>
        </is>
      </c>
    </row>
    <row r="11">
      <c r="A11" s="19" t="inlineStr">
        <is>
          <t>M3</t>
        </is>
      </c>
      <c r="B11" s="19" t="inlineStr">
        <is>
          <t>Zylinderschraube M3x8</t>
        </is>
      </c>
      <c r="C11" s="19">
        <f>SUMIF(Kaufteile!$C:$C,"Zylinderschraube M3x8 (ISO 7380/4762)",Kaufteile!$G:$G)</f>
        <v/>
      </c>
      <c r="D11" s="19">
        <f>IFERROR(IF(INDEX(Kaufteile!$J:$J,MATCH("Zylinderschraube M3x8 (ISO 7380/4762)",Kaufteile!$C:$C,0))="","",INDEX(Kaufteile!$J:$J,MATCH("Zylinderschraube M3x8 (ISO 7380/4762)",Kaufteile!$C:$C,0))),"")</f>
        <v/>
      </c>
      <c r="E11" s="19" t="inlineStr">
        <is>
          <t>Gabelwange oben -&gt; Horn, 4 je Gelenk</t>
        </is>
      </c>
    </row>
    <row r="12">
      <c r="A12" s="19" t="inlineStr">
        <is>
          <t>M3</t>
        </is>
      </c>
      <c r="B12" s="19" t="inlineStr">
        <is>
          <t>Zylinderschraube M3x10</t>
        </is>
      </c>
      <c r="C12" s="19">
        <f>SUMIF(Kaufteile!$C:$C,"Zylinderschraube M3x10",Kaufteile!$G:$G)+SUMIF(Kaufteile!$C:$C,"Zylinderschraube M3x10 + Mutter",Kaufteile!$G:$G)</f>
        <v/>
      </c>
      <c r="D12" s="19" t="inlineStr"/>
      <c r="E12" s="19" t="inlineStr">
        <is>
          <t>Plattenstoß (8, mit Sicherungsmutter); DC-DC, Hub-Träger, Steckerhalter, Taster-Winkel (7, mit Mutter)</t>
        </is>
      </c>
    </row>
    <row r="13">
      <c r="A13" s="19" t="inlineStr">
        <is>
          <t>M3</t>
        </is>
      </c>
      <c r="B13" s="19" t="inlineStr">
        <is>
          <t>Zylinderschraube M3x12</t>
        </is>
      </c>
      <c r="C13" s="19">
        <f>SUMIF(Kaufteile!$C:$C,"Zylinderschraube M3x12 + Mutter",Kaufteile!$G:$G)</f>
        <v/>
      </c>
      <c r="D13" s="19">
        <f>IFERROR(IF(INDEX(Kaufteile!$J:$J,MATCH("Zylinderschraube M3x12 + Mutter",Kaufteile!$C:$C,0))="","",INDEX(Kaufteile!$J:$J,MATCH("Zylinderschraube M3x12 + Mutter",Kaufteile!$C:$C,0))),"")</f>
        <v/>
      </c>
      <c r="E13" s="19" t="inlineStr">
        <is>
          <t>Teilungsspant Panzer</t>
        </is>
      </c>
    </row>
    <row r="14">
      <c r="A14" s="19" t="inlineStr">
        <is>
          <t>M3</t>
        </is>
      </c>
      <c r="B14" s="19" t="inlineStr">
        <is>
          <t>Zylinderschraube M3x14</t>
        </is>
      </c>
      <c r="C14" s="19">
        <f>SUMIF(Kaufteile!$C:$C,"Zylinderschraube M3x14",Kaufteile!$G:$G)</f>
        <v/>
      </c>
      <c r="D14" s="19">
        <f>IFERROR(IF(INDEX(Kaufteile!$J:$J,MATCH("Zylinderschraube M3x14",Kaufteile!$C:$C,0))="","",INDEX(Kaufteile!$J:$J,MATCH("Zylinderschraube M3x14",Kaufteile!$C:$C,0))),"")</f>
        <v/>
      </c>
      <c r="E14" s="19" t="inlineStr">
        <is>
          <t>Relaismodul auf 5-mm-Bolzen</t>
        </is>
      </c>
    </row>
    <row r="15">
      <c r="A15" s="19" t="inlineStr">
        <is>
          <t>M3</t>
        </is>
      </c>
      <c r="B15" s="19" t="inlineStr">
        <is>
          <t>Zylinderschraube M3x25</t>
        </is>
      </c>
      <c r="C15" s="19">
        <f>SUMIF(Kaufteile!$C:$C,"Zylinderschraube M3x25 + Mutter",Kaufteile!$G:$G)</f>
        <v/>
      </c>
      <c r="D15" s="19">
        <f>IFERROR(IF(INDEX(Kaufteile!$J:$J,MATCH("Zylinderschraube M3x25 + Mutter",Kaufteile!$C:$C,0))="","",INDEX(Kaufteile!$J:$J,MATCH("Zylinderschraube M3x25 + Mutter",Kaufteile!$C:$C,0))),"")</f>
        <v/>
      </c>
      <c r="E15" s="19" t="inlineStr">
        <is>
          <t>Kamerahalter-Laschen durch Sockel + Platte</t>
        </is>
      </c>
    </row>
    <row r="16">
      <c r="A16" s="19" t="inlineStr">
        <is>
          <t>M3</t>
        </is>
      </c>
      <c r="B16" s="19" t="inlineStr">
        <is>
          <t>Zylinderschraube M3x45</t>
        </is>
      </c>
      <c r="C16" s="19">
        <f>SUMIF(Kaufteile!$C:$C,"Zylinderschraube M3x45",Kaufteile!$G:$G)</f>
        <v/>
      </c>
      <c r="D16" s="19">
        <f>IFERROR(IF(INDEX(Kaufteile!$J:$J,MATCH("Zylinderschraube M3x45",Kaufteile!$C:$C,0))="","",INDEX(Kaufteile!$J:$J,MATCH("Zylinderschraube M3x45",Kaufteile!$C:$C,0))),"")</f>
        <v/>
      </c>
      <c r="E16" s="19" t="inlineStr">
        <is>
          <t>2 Säulen bei x = -40</t>
        </is>
      </c>
    </row>
    <row r="17">
      <c r="A17" s="19" t="inlineStr">
        <is>
          <t>M3</t>
        </is>
      </c>
      <c r="B17" s="19" t="inlineStr">
        <is>
          <t>Zylinderschraube M3x50</t>
        </is>
      </c>
      <c r="C17" s="19">
        <f>SUMIF(Kaufteile!$C:$C,"Zylinderschraube M3x50",Kaufteile!$G:$G)</f>
        <v/>
      </c>
      <c r="D17" s="19">
        <f>IFERROR(IF(INDEX(Kaufteile!$J:$J,MATCH("Zylinderschraube M3x50",Kaufteile!$C:$C,0))="","",INDEX(Kaufteile!$J:$J,MATCH("Zylinderschraube M3x50",Kaufteile!$C:$C,0))),"")</f>
        <v/>
      </c>
      <c r="E17" s="19" t="inlineStr">
        <is>
          <t>6 Säulen unter den Panzersäulen</t>
        </is>
      </c>
    </row>
    <row r="18">
      <c r="A18" s="19" t="inlineStr">
        <is>
          <t>Muttern</t>
        </is>
      </c>
      <c r="B18" s="19" t="inlineStr">
        <is>
          <t>Mutter M3 (DIN 934)</t>
        </is>
      </c>
      <c r="C18" s="19">
        <f>SUMIF(Kaufteile!$C:$C,"Zylinderschraube M3x*+ Mutter",Kaufteile!$G:$G)</f>
        <v/>
      </c>
      <c r="D18" s="19" t="inlineStr"/>
      <c r="E18" s="19" t="inlineStr">
        <is>
          <t>zu allen Schrauben „+ Mutter“ (M3x10, M3x12, M3x25)</t>
        </is>
      </c>
    </row>
    <row r="19">
      <c r="A19" s="19" t="inlineStr">
        <is>
          <t>Muttern</t>
        </is>
      </c>
      <c r="B19" s="19" t="inlineStr">
        <is>
          <t>Sicherungsmutter M3 (Nylonring)</t>
        </is>
      </c>
      <c r="C19" s="19">
        <f>SUMIF(Kaufteile!$C:$C,"Sicherungsmutter M3 (Nylonring)",Kaufteile!$G:$G)</f>
        <v/>
      </c>
      <c r="D19" s="19">
        <f>IFERROR(IF(INDEX(Kaufteile!$J:$J,MATCH("Sicherungsmutter M3 (Nylonring)",Kaufteile!$C:$C,0))="","",INDEX(Kaufteile!$J:$J,MATCH("Sicherungsmutter M3 (Nylonring)",Kaufteile!$C:$C,0))),"")</f>
        <v/>
      </c>
      <c r="E19" s="19" t="inlineStr">
        <is>
          <t>Plattenstoß, Säulen M3x45, Relais</t>
        </is>
      </c>
    </row>
    <row r="20">
      <c r="A20" s="19" t="inlineStr">
        <is>
          <t>Einsätze</t>
        </is>
      </c>
      <c r="B20" s="19" t="inlineStr">
        <is>
          <t>Gewindeeinsatz M3 (5,7 lang, Ø4,6)</t>
        </is>
      </c>
      <c r="C20" s="19">
        <f>SUMIF(Kaufteile!$C:$C,"Gewindeeinsatz M3 (Einschmelzmutter, 5,7 lang, Ø4,6)",Kaufteile!$G:$G)</f>
        <v/>
      </c>
      <c r="D20" s="19">
        <f>IFERROR(IF(INDEX(Kaufteile!$J:$J,MATCH("Gewindeeinsatz M3 (Einschmelzmutter, 5,7 lang, Ø4,6)",Kaufteile!$C:$C,0))="","",INDEX(Kaufteile!$J:$J,MATCH("Gewindeeinsatz M3 (Einschmelzmutter, 5,7 lang, Ø4,6)",Kaufteile!$C:$C,0))),"")</f>
        <v/>
      </c>
      <c r="E20" s="19" t="inlineStr">
        <is>
          <t>Panzersäulen</t>
        </is>
      </c>
    </row>
    <row r="21">
      <c r="A21" s="19" t="inlineStr">
        <is>
          <t>Sonstiges</t>
        </is>
      </c>
      <c r="B21" s="19" t="inlineStr">
        <is>
          <t>Kunststoff-Unterlegscheiben M2/M2,5/M3 (Sortiment)</t>
        </is>
      </c>
      <c r="C21" s="19">
        <f>SUMIF(Kaufteile!$C:$C,"Kunststoff-Unterlegscheiben M2/M2,5/M3 (Sortiment)",Kaufteile!$G:$G)</f>
        <v/>
      </c>
      <c r="D21" s="19">
        <f>IFERROR(IF(INDEX(Kaufteile!$J:$J,MATCH("Kunststoff-Unterlegscheiben M2/M2,5/M3 (Sortiment)",Kaufteile!$C:$C,0))="","",INDEX(Kaufteile!$J:$J,MATCH("Kunststoff-Unterlegscheiben M2/M2,5/M3 (Sortiment)",Kaufteile!$C:$C,0))),"")</f>
        <v/>
      </c>
      <c r="E21" s="19" t="inlineStr">
        <is>
          <t>Elektronik isoliert befestigen</t>
        </is>
      </c>
    </row>
    <row r="22">
      <c r="A22" s="19" t="inlineStr">
        <is>
          <t>Sonstiges</t>
        </is>
      </c>
      <c r="B22" s="19" t="inlineStr">
        <is>
          <t>Federstahldraht 1,2 mm (m)</t>
        </is>
      </c>
      <c r="C22" s="19">
        <f>SUMIF(Kaufteile!$C:$C,"Federstahldraht 1,2 mm (m)",Kaufteile!$G:$G)</f>
        <v/>
      </c>
      <c r="D22" s="19">
        <f>IFERROR(IF(INDEX(Kaufteile!$J:$J,MATCH("Federstahldraht 1,2 mm (m)",Kaufteile!$C:$C,0))="","",INDEX(Kaufteile!$J:$J,MATCH("Federstahldraht 1,2 mm (m)",Kaufteile!$C:$C,0))),"")</f>
        <v/>
      </c>
      <c r="E22" s="19" t="inlineStr">
        <is>
          <t>Haltestifte Mikroschalter</t>
        </is>
      </c>
    </row>
    <row r="23"/>
    <row r="24">
      <c r="A24" s="21" t="inlineStr">
        <is>
          <t>Elektronik und Verdrahtung</t>
        </is>
      </c>
    </row>
    <row r="25">
      <c r="A25" s="6" t="inlineStr">
        <is>
          <t>Gruppe</t>
        </is>
      </c>
      <c r="B25" s="6" t="inlineStr">
        <is>
          <t>Teil</t>
        </is>
      </c>
      <c r="C25" s="6" t="inlineStr">
        <is>
          <t>Bestellmenge</t>
        </is>
      </c>
      <c r="D25" s="6" t="inlineStr">
        <is>
          <t>Status</t>
        </is>
      </c>
      <c r="E25" s="6" t="inlineStr">
        <is>
          <t>Verwendung</t>
        </is>
      </c>
    </row>
    <row r="26">
      <c r="A26" s="19" t="inlineStr">
        <is>
          <t>Antrieb</t>
        </is>
      </c>
      <c r="B26" s="19" t="inlineStr">
        <is>
          <t>Servo ST3215 (Feetech/Waveshare, 12 V)</t>
        </is>
      </c>
      <c r="C26" s="19">
        <f>SUMIF(Kaufteile!$C:$C,"Servo ST3215 (Feetech/Waveshare, 12 V)",Kaufteile!$G:$G)</f>
        <v/>
      </c>
      <c r="D26" s="19">
        <f>IFERROR(IF(INDEX(Kaufteile!$J:$J,MATCH("Servo ST3215 (Feetech/Waveshare, 12 V)",Kaufteile!$C:$C,0))="","",INDEX(Kaufteile!$J:$J,MATCH("Servo ST3215 (Feetech/Waveshare, 12 V)",Kaufteile!$C:$C,0))),"")</f>
        <v/>
      </c>
      <c r="E26" s="19" t="inlineStr">
        <is>
          <t>18 Servos, 3 je Bein</t>
        </is>
      </c>
    </row>
    <row r="27">
      <c r="A27" s="19" t="inlineStr">
        <is>
          <t>Rechner</t>
        </is>
      </c>
      <c r="B27" s="19" t="inlineStr">
        <is>
          <t>Raspberry Pi 5</t>
        </is>
      </c>
      <c r="C27" s="19">
        <f>SUMIF(Kaufteile!$C:$C,"Raspberry Pi 5",Kaufteile!$G:$G)</f>
        <v/>
      </c>
      <c r="D27" s="19">
        <f>IFERROR(IF(INDEX(Kaufteile!$J:$J,MATCH("Raspberry Pi 5",Kaufteile!$C:$C,0))="","",INDEX(Kaufteile!$J:$J,MATCH("Raspberry Pi 5",Kaufteile!$C:$C,0))),"")</f>
        <v/>
      </c>
      <c r="E27" s="19" t="inlineStr">
        <is>
          <t>Perzeption, Planung</t>
        </is>
      </c>
    </row>
    <row r="28">
      <c r="A28" s="19" t="inlineStr">
        <is>
          <t>Rechner</t>
        </is>
      </c>
      <c r="B28" s="19" t="inlineStr">
        <is>
          <t>Raspberry Pi Active Cooler</t>
        </is>
      </c>
      <c r="C28" s="19">
        <f>SUMIF(Kaufteile!$C:$C,"Raspberry Pi Active Cooler",Kaufteile!$G:$G)</f>
        <v/>
      </c>
      <c r="D28" s="19">
        <f>IFERROR(IF(INDEX(Kaufteile!$J:$J,MATCH("Raspberry Pi Active Cooler",Kaufteile!$C:$C,0))="","",INDEX(Kaufteile!$J:$J,MATCH("Raspberry Pi Active Cooler",Kaufteile!$C:$C,0))),"")</f>
        <v/>
      </c>
      <c r="E28" s="19" t="inlineStr">
        <is>
          <t>falls nicht beim Pi</t>
        </is>
      </c>
    </row>
    <row r="29">
      <c r="A29" s="19" t="inlineStr">
        <is>
          <t>Rechner</t>
        </is>
      </c>
      <c r="B29" s="19" t="inlineStr">
        <is>
          <t>Hailo-8 AI HAT+ (26 TOPS)</t>
        </is>
      </c>
      <c r="C29" s="19">
        <f>SUMIF(Kaufteile!$C:$C,"Hailo-8 AI HAT+ (26 TOPS)",Kaufteile!$G:$G)</f>
        <v/>
      </c>
      <c r="D29" s="19">
        <f>IFERROR(IF(INDEX(Kaufteile!$J:$J,MATCH("Hailo-8 AI HAT+ (26 TOPS)",Kaufteile!$C:$C,0))="","",INDEX(Kaufteile!$J:$J,MATCH("Hailo-8 AI HAT+ (26 TOPS)",Kaufteile!$C:$C,0))),"")</f>
        <v/>
      </c>
      <c r="E29" s="19" t="inlineStr">
        <is>
          <t>NPU</t>
        </is>
      </c>
    </row>
    <row r="30">
      <c r="A30" s="19" t="inlineStr">
        <is>
          <t>Rechner</t>
        </is>
      </c>
      <c r="B30" s="19" t="inlineStr">
        <is>
          <t>Waveshare General Driver for Robots</t>
        </is>
      </c>
      <c r="C30" s="19">
        <f>SUMIF(Kaufteile!$C:$C,"Waveshare General Driver for Robots",Kaufteile!$G:$G)</f>
        <v/>
      </c>
      <c r="D30" s="19">
        <f>IFERROR(IF(INDEX(Kaufteile!$J:$J,MATCH("Waveshare General Driver for Robots",Kaufteile!$C:$C,0))="","",INDEX(Kaufteile!$J:$J,MATCH("Waveshare General Driver for Robots",Kaufteile!$C:$C,0))),"")</f>
        <v/>
      </c>
      <c r="E30" s="19" t="inlineStr">
        <is>
          <t>ESP32, Servo-Bus</t>
        </is>
      </c>
    </row>
    <row r="31">
      <c r="A31" s="19" t="inlineStr">
        <is>
          <t>Energie</t>
        </is>
      </c>
      <c r="B31" s="19" t="inlineStr">
        <is>
          <t>LiPo ZEEE 3S 9000 mAh</t>
        </is>
      </c>
      <c r="C31" s="19">
        <f>SUMIF(Kaufteile!$C:$C,"LiPo ZEEE 3S 9000 mAh",Kaufteile!$G:$G)</f>
        <v/>
      </c>
      <c r="D31" s="19">
        <f>IFERROR(IF(INDEX(Kaufteile!$J:$J,MATCH("LiPo ZEEE 3S 9000 mAh",Kaufteile!$C:$C,0))="","",INDEX(Kaufteile!$J:$J,MATCH("LiPo ZEEE 3S 9000 mAh",Kaufteile!$C:$C,0))),"")</f>
        <v/>
      </c>
      <c r="E31" s="19" t="inlineStr">
        <is>
          <t>Akku</t>
        </is>
      </c>
    </row>
    <row r="32">
      <c r="A32" s="19" t="inlineStr">
        <is>
          <t>Energie</t>
        </is>
      </c>
      <c r="B32" s="19" t="inlineStr">
        <is>
          <t>BMS 3S (Daly 12 V 60 A oder 30–40 A)</t>
        </is>
      </c>
      <c r="C32" s="19">
        <f>SUMIF(Kaufteile!$C:$C,"BMS 3S (Daly 12 V 60 A oder 30–40 A)",Kaufteile!$G:$G)</f>
        <v/>
      </c>
      <c r="D32" s="19">
        <f>IFERROR(IF(INDEX(Kaufteile!$J:$J,MATCH("BMS 3S (Daly 12 V 60 A oder 30–40 A)",Kaufteile!$C:$C,0))="","",INDEX(Kaufteile!$J:$J,MATCH("BMS 3S (Daly 12 V 60 A oder 30–40 A)",Kaufteile!$C:$C,0))),"")</f>
        <v/>
      </c>
      <c r="E32" s="19" t="inlineStr">
        <is>
          <t>Kurzschluss-, Überstrom-, Zellenschutz</t>
        </is>
      </c>
    </row>
    <row r="33">
      <c r="A33" s="19" t="inlineStr">
        <is>
          <t>Energie</t>
        </is>
      </c>
      <c r="B33" s="19" t="inlineStr">
        <is>
          <t>Flachsicherung 30 A + Inline-Halter</t>
        </is>
      </c>
      <c r="C33" s="19">
        <f>SUMIF(Kaufteile!$C:$C,"Flachsicherung 30 A + Inline-Halter",Kaufteile!$G:$G)</f>
        <v/>
      </c>
      <c r="D33" s="19">
        <f>IFERROR(IF(INDEX(Kaufteile!$J:$J,MATCH("Flachsicherung 30 A + Inline-Halter",Kaufteile!$C:$C,0))="","",INDEX(Kaufteile!$J:$J,MATCH("Flachsicherung 30 A + Inline-Halter",Kaufteile!$C:$C,0))),"")</f>
        <v/>
      </c>
      <c r="E33" s="19" t="inlineStr">
        <is>
          <t>F1 in der Plusleitung; Inline-Halter, Litze ≥ AWG14</t>
        </is>
      </c>
    </row>
    <row r="34">
      <c r="A34" s="19" t="inlineStr">
        <is>
          <t>Energie</t>
        </is>
      </c>
      <c r="B34" s="19" t="inlineStr">
        <is>
          <t>Deans-T-Stecker (Stifte, Robot-Seite)</t>
        </is>
      </c>
      <c r="C34" s="19">
        <f>SUMIF(Kaufteile!$C:$C,"Deans-T-Stecker (Stifte, Robot-Seite)",Kaufteile!$G:$G)</f>
        <v/>
      </c>
      <c r="D34" s="19">
        <f>IFERROR(IF(INDEX(Kaufteile!$J:$J,MATCH("Deans-T-Stecker (Stifte, Robot-Seite)",Kaufteile!$C:$C,0))="","",INDEX(Kaufteile!$J:$J,MATCH("Deans-T-Stecker (Stifte, Robot-Seite)",Kaufteile!$C:$C,0))),"")</f>
        <v/>
      </c>
      <c r="E34" s="19" t="inlineStr">
        <is>
          <t>Steckerhalter</t>
        </is>
      </c>
    </row>
    <row r="35">
      <c r="A35" s="19" t="inlineStr">
        <is>
          <t>Energie</t>
        </is>
      </c>
      <c r="B35" s="19" t="inlineStr">
        <is>
          <t>DC-DC 12 V -&gt; 5 V / 5 A Fulree F35J5V5A1S-C</t>
        </is>
      </c>
      <c r="C35" s="19">
        <f>SUMIF(Kaufteile!$C:$C,"DC-DC 12 V -&gt; 5 V / 5 A Fulree F35J5V5A1S-C",Kaufteile!$G:$G)</f>
        <v/>
      </c>
      <c r="D35" s="19">
        <f>IFERROR(IF(INDEX(Kaufteile!$J:$J,MATCH("DC-DC 12 V -&gt; 5 V / 5 A Fulree F35J5V5A1S-C",Kaufteile!$C:$C,0))="","",INDEX(Kaufteile!$J:$J,MATCH("DC-DC 12 V -&gt; 5 V / 5 A Fulree F35J5V5A1S-C",Kaufteile!$C:$C,0))),"")</f>
        <v/>
      </c>
      <c r="E35" s="19" t="inlineStr">
        <is>
          <t>Pi-Versorgung</t>
        </is>
      </c>
    </row>
    <row r="36">
      <c r="A36" s="19" t="inlineStr">
        <is>
          <t>Energie</t>
        </is>
      </c>
      <c r="B36" s="19" t="inlineStr">
        <is>
          <t>Relaismodul 8-Kanal</t>
        </is>
      </c>
      <c r="C36" s="19">
        <f>SUMIF(Kaufteile!$C:$C,"Relaismodul 8-Kanal",Kaufteile!$G:$G)</f>
        <v/>
      </c>
      <c r="D36" s="19">
        <f>IFERROR(IF(INDEX(Kaufteile!$J:$J,MATCH("Relaismodul 8-Kanal",Kaufteile!$C:$C,0))="","",INDEX(Kaufteile!$J:$J,MATCH("Relaismodul 8-Kanal",Kaufteile!$C:$C,0))),"")</f>
        <v/>
      </c>
      <c r="E36" s="19" t="inlineStr">
        <is>
          <t>K1 Pi, K2–K7 Beine</t>
        </is>
      </c>
    </row>
    <row r="37">
      <c r="A37" s="19" t="inlineStr">
        <is>
          <t>Sensorik</t>
        </is>
      </c>
      <c r="B37" s="19" t="inlineStr">
        <is>
          <t>IMX296 Kamera-Modul mit ext. Trigger</t>
        </is>
      </c>
      <c r="C37" s="19">
        <f>SUMIF(Kaufteile!$C:$C,"IMX296 Kamera-Modul mit ext. Trigger",Kaufteile!$G:$G)</f>
        <v/>
      </c>
      <c r="D37" s="19">
        <f>IFERROR(IF(INDEX(Kaufteile!$J:$J,MATCH("IMX296 Kamera-Modul mit ext. Trigger",Kaufteile!$C:$C,0))="","",INDEX(Kaufteile!$J:$J,MATCH("IMX296 Kamera-Modul mit ext. Trigger",Kaufteile!$C:$C,0))),"")</f>
        <v/>
      </c>
      <c r="E37" s="19" t="inlineStr">
        <is>
          <t>Stereo</t>
        </is>
      </c>
    </row>
    <row r="38">
      <c r="A38" s="19" t="inlineStr">
        <is>
          <t>Sensorik</t>
        </is>
      </c>
      <c r="B38" s="19" t="inlineStr">
        <is>
          <t>M12-Objektiv 2,8 mm (ZH3019-14)</t>
        </is>
      </c>
      <c r="C38" s="19">
        <f>SUMIF(Kaufteile!$C:$C,"M12-Objektiv 2,8 mm (ZH3019-14)",Kaufteile!$G:$G)</f>
        <v/>
      </c>
      <c r="D38" s="19">
        <f>IFERROR(IF(INDEX(Kaufteile!$J:$J,MATCH("M12-Objektiv 2,8 mm (ZH3019-14)",Kaufteile!$C:$C,0))="","",INDEX(Kaufteile!$J:$J,MATCH("M12-Objektiv 2,8 mm (ZH3019-14)",Kaufteile!$C:$C,0))),"")</f>
        <v/>
      </c>
      <c r="E38" s="19" t="inlineStr">
        <is>
          <t>Stereo</t>
        </is>
      </c>
    </row>
    <row r="39">
      <c r="A39" s="19" t="inlineStr">
        <is>
          <t>Sensorik</t>
        </is>
      </c>
      <c r="B39" s="19" t="inlineStr">
        <is>
          <t>CSI-Kabel Pi 5 (22-pol auf 15-pol), ca. 200 mm</t>
        </is>
      </c>
      <c r="C39" s="19">
        <f>SUMIF(Kaufteile!$C:$C,"CSI-Kabel Pi 5 (22-pol auf 15-pol), ca. 200 mm",Kaufteile!$G:$G)</f>
        <v/>
      </c>
      <c r="D39" s="19">
        <f>IFERROR(IF(INDEX(Kaufteile!$J:$J,MATCH("CSI-Kabel Pi 5 (22-pol auf 15-pol), ca. 200 mm",Kaufteile!$C:$C,0))="","",INDEX(Kaufteile!$J:$J,MATCH("CSI-Kabel Pi 5 (22-pol auf 15-pol), ca. 200 mm",Kaufteile!$C:$C,0))),"")</f>
        <v/>
      </c>
      <c r="E39" s="19" t="inlineStr">
        <is>
          <t>Kamera -&gt; Pi</t>
        </is>
      </c>
    </row>
    <row r="40">
      <c r="A40" s="19" t="inlineStr">
        <is>
          <t>Sensorik</t>
        </is>
      </c>
      <c r="B40" s="19" t="inlineStr">
        <is>
          <t>IMU ICM-20948 (Pimoroni-Breakout)</t>
        </is>
      </c>
      <c r="C40" s="19">
        <f>SUMIF(Kaufteile!$C:$C,"IMU ICM-20948 (Pimoroni-Breakout)",Kaufteile!$G:$G)</f>
        <v/>
      </c>
      <c r="D40" s="19">
        <f>IFERROR(IF(INDEX(Kaufteile!$J:$J,MATCH("IMU ICM-20948 (Pimoroni-Breakout)",Kaufteile!$C:$C,0))="","",INDEX(Kaufteile!$J:$J,MATCH("IMU ICM-20948 (Pimoroni-Breakout)",Kaufteile!$C:$C,0))),"")</f>
        <v/>
      </c>
      <c r="E40" s="19" t="inlineStr">
        <is>
          <t>VIO/SLAM am Pi</t>
        </is>
      </c>
    </row>
    <row r="41">
      <c r="A41" s="19" t="inlineStr">
        <is>
          <t>Sensorik</t>
        </is>
      </c>
      <c r="B41" s="19" t="inlineStr">
        <is>
          <t>Mikroschalter D2F (oder ähnlich)</t>
        </is>
      </c>
      <c r="C41" s="19">
        <f>SUMIF(Kaufteile!$C:$C,"Mikroschalter D2F (oder ähnlich)",Kaufteile!$G:$G)</f>
        <v/>
      </c>
      <c r="D41" s="19">
        <f>IFERROR(IF(INDEX(Kaufteile!$J:$J,MATCH("Mikroschalter D2F (oder ähnlich)",Kaufteile!$C:$C,0))="","",INDEX(Kaufteile!$J:$J,MATCH("Mikroschalter D2F (oder ähnlich)",Kaufteile!$C:$C,0))),"")</f>
        <v/>
      </c>
      <c r="E41" s="19" t="inlineStr">
        <is>
          <t>Fußkontakte</t>
        </is>
      </c>
    </row>
    <row r="42">
      <c r="A42" s="19" t="inlineStr">
        <is>
          <t>Bauteile</t>
        </is>
      </c>
      <c r="B42" s="19" t="inlineStr">
        <is>
          <t>IO-Expander MCP23017-E (Modul/Breakout)</t>
        </is>
      </c>
      <c r="C42" s="19">
        <f>SUMIF(Kaufteile!$C:$C,"IO-Expander MCP23017-E (Modul/Breakout)",Kaufteile!$G:$G)</f>
        <v/>
      </c>
      <c r="D42" s="19">
        <f>IFERROR(IF(INDEX(Kaufteile!$J:$J,MATCH("IO-Expander MCP23017-E (Modul/Breakout)",Kaufteile!$C:$C,0))="","",INDEX(Kaufteile!$J:$J,MATCH("IO-Expander MCP23017-E (Modul/Breakout)",Kaufteile!$C:$C,0))),"")</f>
        <v/>
      </c>
      <c r="E42" s="19" t="inlineStr">
        <is>
          <t>Hub-Platine</t>
        </is>
      </c>
    </row>
    <row r="43">
      <c r="A43" s="19" t="inlineStr">
        <is>
          <t>Bauteile</t>
        </is>
      </c>
      <c r="B43" s="19" t="inlineStr">
        <is>
          <t>Drucktaster 12 mm, Einbau, Schließer (Metall, IP65)</t>
        </is>
      </c>
      <c r="C43" s="19">
        <f>SUMIF(Kaufteile!$C:$C,"Drucktaster 12 mm, Einbau, Schließer (Metall, IP65)",Kaufteile!$G:$G)</f>
        <v/>
      </c>
      <c r="D43" s="19">
        <f>IFERROR(IF(INDEX(Kaufteile!$J:$J,MATCH("Drucktaster 12 mm, Einbau, Schließer (Metall, IP65)",Kaufteile!$C:$C,0))="","",INDEX(Kaufteile!$J:$J,MATCH("Drucktaster 12 mm, Einbau, Schließer (Metall, IP65)",Kaufteile!$C:$C,0))),"")</f>
        <v/>
      </c>
      <c r="E43" s="19" t="inlineStr">
        <is>
          <t>Ein/Aus</t>
        </is>
      </c>
    </row>
    <row r="44">
      <c r="A44" s="19" t="inlineStr">
        <is>
          <t>Bauteile</t>
        </is>
      </c>
      <c r="B44" s="19" t="inlineStr">
        <is>
          <t>Widerstand 10 kΩ</t>
        </is>
      </c>
      <c r="C44" s="19">
        <f>SUMIF(Kaufteile!$C:$C,"Widerstand 10 kΩ",Kaufteile!$G:$G)</f>
        <v/>
      </c>
      <c r="D44" s="19">
        <f>IFERROR(IF(INDEX(Kaufteile!$J:$J,MATCH("Widerstand 10 kΩ",Kaufteile!$C:$C,0))="","",INDEX(Kaufteile!$J:$J,MATCH("Widerstand 10 kΩ",Kaufteile!$C:$C,0))),"")</f>
        <v/>
      </c>
      <c r="E44" s="19" t="inlineStr">
        <is>
          <t>Pull-ups Füße + Taster</t>
        </is>
      </c>
    </row>
    <row r="45">
      <c r="A45" s="19" t="inlineStr">
        <is>
          <t>Bauteile</t>
        </is>
      </c>
      <c r="B45" s="19" t="inlineStr">
        <is>
          <t>Widerstand 4,7 kΩ</t>
        </is>
      </c>
      <c r="C45" s="19">
        <f>SUMIF(Kaufteile!$C:$C,"Widerstand 4,7 kΩ",Kaufteile!$G:$G)</f>
        <v/>
      </c>
      <c r="D45" s="19">
        <f>IFERROR(IF(INDEX(Kaufteile!$J:$J,MATCH("Widerstand 4,7 kΩ",Kaufteile!$C:$C,0))="","",INDEX(Kaufteile!$J:$J,MATCH("Widerstand 4,7 kΩ",Kaufteile!$C:$C,0))),"")</f>
        <v/>
      </c>
      <c r="E45" s="19" t="inlineStr">
        <is>
          <t>Basiswiderstand BC547</t>
        </is>
      </c>
    </row>
    <row r="46">
      <c r="A46" s="19" t="inlineStr">
        <is>
          <t>Bauteile</t>
        </is>
      </c>
      <c r="B46" s="19" t="inlineStr">
        <is>
          <t>Transistor BC547 (NPN)</t>
        </is>
      </c>
      <c r="C46" s="19">
        <f>SUMIF(Kaufteile!$C:$C,"Transistor BC547 (NPN)",Kaufteile!$G:$G)</f>
        <v/>
      </c>
      <c r="D46" s="19">
        <f>IFERROR(IF(INDEX(Kaufteile!$J:$J,MATCH("Transistor BC547 (NPN)",Kaufteile!$C:$C,0))="","",INDEX(Kaufteile!$J:$J,MATCH("Transistor BC547 (NPN)",Kaufteile!$C:$C,0))),"")</f>
        <v/>
      </c>
      <c r="E46" s="19" t="inlineStr">
        <is>
          <t>Relais-Adapter</t>
        </is>
      </c>
    </row>
    <row r="47">
      <c r="A47" s="19" t="inlineStr">
        <is>
          <t>Bauteile</t>
        </is>
      </c>
      <c r="B47" s="19" t="inlineStr">
        <is>
          <t>Elko 470 µF / 25 V (radial, low ESR)</t>
        </is>
      </c>
      <c r="C47" s="19">
        <f>SUMIF(Kaufteile!$C:$C,"Elko 470 µF / 25 V (radial, low ESR)",Kaufteile!$G:$G)</f>
        <v/>
      </c>
      <c r="D47" s="19">
        <f>IFERROR(IF(INDEX(Kaufteile!$J:$J,MATCH("Elko 470 µF / 25 V (radial, low ESR)",Kaufteile!$C:$C,0))="","",INDEX(Kaufteile!$J:$J,MATCH("Elko 470 µF / 25 V (radial, low ESR)",Kaufteile!$C:$C,0))),"")</f>
        <v/>
      </c>
      <c r="E47" s="19" t="inlineStr">
        <is>
          <t>Bein-Platinen</t>
        </is>
      </c>
    </row>
    <row r="48">
      <c r="A48" s="19" t="inlineStr">
        <is>
          <t>Bauteile</t>
        </is>
      </c>
      <c r="B48" s="19" t="inlineStr">
        <is>
          <t>Keramikkondensator 100 nF</t>
        </is>
      </c>
      <c r="C48" s="19">
        <f>SUMIF(Kaufteile!$C:$C,"Keramikkondensator 100 nF",Kaufteile!$G:$G)</f>
        <v/>
      </c>
      <c r="D48" s="19">
        <f>IFERROR(IF(INDEX(Kaufteile!$J:$J,MATCH("Keramikkondensator 100 nF",Kaufteile!$C:$C,0))="","",INDEX(Kaufteile!$J:$J,MATCH("Keramikkondensator 100 nF",Kaufteile!$C:$C,0))),"")</f>
        <v/>
      </c>
      <c r="E48" s="19" t="inlineStr">
        <is>
          <t>Hub</t>
        </is>
      </c>
    </row>
    <row r="49">
      <c r="A49" s="19" t="inlineStr">
        <is>
          <t>Optional</t>
        </is>
      </c>
      <c r="B49" s="19" t="inlineStr">
        <is>
          <t>I2C-Hub / Multiplexer TCA9548A (optional)</t>
        </is>
      </c>
      <c r="C49" s="19">
        <f>SUMIF(Kaufteile!$C:$C,"I2C-Hub / Multiplexer TCA9548A (optional)",Kaufteile!$G:$G)</f>
        <v/>
      </c>
      <c r="D49" s="19">
        <f>IFERROR(IF(INDEX(Kaufteile!$J:$J,MATCH("I2C-Hub / Multiplexer TCA9548A (optional)",Kaufteile!$C:$C,0))="","",INDEX(Kaufteile!$J:$J,MATCH("I2C-Hub / Multiplexer TCA9548A (optional)",Kaufteile!$C:$C,0))),"")</f>
        <v/>
      </c>
      <c r="E49" s="19" t="inlineStr">
        <is>
          <t>nicht nötig, Platz vom Hub belegt</t>
        </is>
      </c>
    </row>
    <row r="50">
      <c r="A50" s="19" t="inlineStr">
        <is>
          <t>Optional</t>
        </is>
      </c>
      <c r="B50" s="19" t="inlineStr">
        <is>
          <t>WS2812B-LED-Streifen (optional)</t>
        </is>
      </c>
      <c r="C50" s="19">
        <f>SUMIF(Kaufteile!$C:$C,"WS2812B-LED-Streifen (optional)",Kaufteile!$G:$G)</f>
        <v/>
      </c>
      <c r="D50" s="19">
        <f>IFERROR(IF(INDEX(Kaufteile!$J:$J,MATCH("WS2812B-LED-Streifen (optional)",Kaufteile!$C:$C,0))="","",INDEX(Kaufteile!$J:$J,MATCH("WS2812B-LED-Streifen (optional)",Kaufteile!$C:$C,0))),"")</f>
        <v/>
      </c>
      <c r="E50" s="19" t="inlineStr">
        <is>
          <t>Status-LEDs an IO4</t>
        </is>
      </c>
    </row>
    <row r="51">
      <c r="A51" s="19" t="inlineStr">
        <is>
          <t>Stecker &amp; Kabel</t>
        </is>
      </c>
      <c r="B51" s="19" t="inlineStr">
        <is>
          <t>JST-XH 2,54 Steckverbinder-Sortiment</t>
        </is>
      </c>
      <c r="C51" s="19">
        <f>SUMIF(Kaufteile!$C:$C,"JST-XH 2,54 Steckverbinder-Sortiment",Kaufteile!$G:$G)</f>
        <v/>
      </c>
      <c r="D51" s="19">
        <f>IFERROR(IF(INDEX(Kaufteile!$J:$J,MATCH("JST-XH 2,54 Steckverbinder-Sortiment",Kaufteile!$C:$C,0))="","",INDEX(Kaufteile!$J:$J,MATCH("JST-XH 2,54 Steckverbinder-Sortiment",Kaufteile!$C:$C,0))),"")</f>
        <v/>
      </c>
      <c r="E51" s="19" t="inlineStr">
        <is>
          <t>Hub &lt;-&gt; Beine, Fußschalter, Taster, Treiber</t>
        </is>
      </c>
    </row>
    <row r="52">
      <c r="A52" s="19" t="inlineStr">
        <is>
          <t>Stecker &amp; Kabel</t>
        </is>
      </c>
      <c r="B52" s="19" t="inlineStr">
        <is>
          <t>Stiftleiste 2,54 mm gerade, 40-pol.</t>
        </is>
      </c>
      <c r="C52" s="19">
        <f>SUMIF(Kaufteile!$C:$C,"Stiftleiste 2,54 mm gerade, 40-pol.",Kaufteile!$G:$G)</f>
        <v/>
      </c>
      <c r="D52" s="19">
        <f>IFERROR(IF(INDEX(Kaufteile!$J:$J,MATCH("Stiftleiste 2,54 mm gerade, 40-pol.",Kaufteile!$C:$C,0))="","",INDEX(Kaufteile!$J:$J,MATCH("Stiftleiste 2,54 mm gerade, 40-pol.",Kaufteile!$C:$C,0))),"")</f>
        <v/>
      </c>
      <c r="E52" s="19" t="inlineStr">
        <is>
          <t>Servo-Anschlüsse Bein-Platinen</t>
        </is>
      </c>
    </row>
    <row r="53">
      <c r="A53" s="19" t="inlineStr">
        <is>
          <t>Stecker &amp; Kabel</t>
        </is>
      </c>
      <c r="B53" s="19" t="inlineStr">
        <is>
          <t>Buchsenleiste 2,54 mm, 10-pol., gewinkelt</t>
        </is>
      </c>
      <c r="C53" s="19">
        <f>SUMIF(Kaufteile!$C:$C,"Buchsenleiste 2,54 mm, 10-pol., gewinkelt",Kaufteile!$G:$G)</f>
        <v/>
      </c>
      <c r="D53" s="19">
        <f>IFERROR(IF(INDEX(Kaufteile!$J:$J,MATCH("Buchsenleiste 2,54 mm, 10-pol., gewinkelt",Kaufteile!$C:$C,0))="","",INDEX(Kaufteile!$J:$J,MATCH("Buchsenleiste 2,54 mm, 10-pol., gewinkelt",Kaufteile!$C:$C,0))),"")</f>
        <v/>
      </c>
      <c r="E53" s="19" t="inlineStr">
        <is>
          <t>Relais-Adapter</t>
        </is>
      </c>
    </row>
    <row r="54">
      <c r="A54" s="19" t="inlineStr">
        <is>
          <t>Stecker &amp; Kabel</t>
        </is>
      </c>
      <c r="B54" s="19" t="inlineStr">
        <is>
          <t>Dupont-Kabel (Trigger/Strobe)</t>
        </is>
      </c>
      <c r="C54" s="19">
        <f>SUMIF(Kaufteile!$C:$C,"Dupont-Kabel (Trigger/Strobe)",Kaufteile!$G:$G)</f>
        <v/>
      </c>
      <c r="D54" s="19">
        <f>IFERROR(IF(INDEX(Kaufteile!$J:$J,MATCH("Dupont-Kabel (Trigger/Strobe)",Kaufteile!$C:$C,0))="","",INDEX(Kaufteile!$J:$J,MATCH("Dupont-Kabel (Trigger/Strobe)",Kaufteile!$C:$C,0))),"")</f>
        <v/>
      </c>
      <c r="E54" s="19" t="inlineStr">
        <is>
          <t>Kameras, I²C, Pi-GPIO</t>
        </is>
      </c>
    </row>
    <row r="55">
      <c r="A55" s="19" t="inlineStr">
        <is>
          <t>Stecker &amp; Kabel</t>
        </is>
      </c>
      <c r="B55" s="19" t="inlineStr">
        <is>
          <t>Servokabel 5264 3-pol.</t>
        </is>
      </c>
      <c r="C55" s="19">
        <f>SUMIF(Kaufteile!$C:$C,"Servokabel 5264 3-pol.",Kaufteile!$G:$G)</f>
        <v/>
      </c>
      <c r="D55" s="19">
        <f>IFERROR(IF(INDEX(Kaufteile!$J:$J,MATCH("Servokabel 5264 3-pol.",Kaufteile!$C:$C,0))="","",INDEX(Kaufteile!$J:$J,MATCH("Servokabel 5264 3-pol.",Kaufteile!$C:$C,0))),"")</f>
        <v/>
      </c>
      <c r="E55" s="19" t="inlineStr">
        <is>
          <t>H5 -&gt; Hub, ggf. Verlängerung</t>
        </is>
      </c>
    </row>
    <row r="56">
      <c r="A56" s="19" t="inlineStr">
        <is>
          <t>Stecker &amp; Kabel</t>
        </is>
      </c>
      <c r="B56" s="19" t="inlineStr">
        <is>
          <t>Signal-Litze AWG24, mehrere Farben (m)</t>
        </is>
      </c>
      <c r="C56" s="19">
        <f>SUMIF(Kaufteile!$C:$C,"Signal-Litze AWG24, mehrere Farben (m)",Kaufteile!$G:$G)</f>
        <v/>
      </c>
      <c r="D56" s="19">
        <f>IFERROR(IF(INDEX(Kaufteile!$J:$J,MATCH("Signal-Litze AWG24, mehrere Farben (m)",Kaufteile!$C:$C,0))="","",INDEX(Kaufteile!$J:$J,MATCH("Signal-Litze AWG24, mehrere Farben (m)",Kaufteile!$C:$C,0))),"")</f>
        <v/>
      </c>
      <c r="E56" s="19" t="inlineStr">
        <is>
          <t>gesteckte Signalleitungen</t>
        </is>
      </c>
    </row>
    <row r="57">
      <c r="A57" s="19" t="inlineStr">
        <is>
          <t>Stecker &amp; Kabel</t>
        </is>
      </c>
      <c r="B57" s="19" t="inlineStr">
        <is>
          <t>Litze AWG14 rot/schwarz (m)</t>
        </is>
      </c>
      <c r="C57" s="19">
        <f>SUMIF(Kaufteile!$C:$C,"Litze AWG14 rot/schwarz (m)",Kaufteile!$G:$G)</f>
        <v/>
      </c>
      <c r="D57" s="19">
        <f>IFERROR(IF(INDEX(Kaufteile!$J:$J,MATCH("Litze AWG14 rot/schwarz (m)",Kaufteile!$C:$C,0))="","",INDEX(Kaufteile!$J:$J,MATCH("Litze AWG14 rot/schwarz (m)",Kaufteile!$C:$C,0))),"")</f>
        <v/>
      </c>
      <c r="E57" s="19" t="inlineStr">
        <is>
          <t>Akku -&gt; F1 -&gt; Power-Board</t>
        </is>
      </c>
    </row>
    <row r="58">
      <c r="A58" s="19" t="inlineStr">
        <is>
          <t>Stecker &amp; Kabel</t>
        </is>
      </c>
      <c r="B58" s="19" t="inlineStr">
        <is>
          <t>Litze AWG20 rot/schwarz (m)</t>
        </is>
      </c>
      <c r="C58" s="19">
        <f>SUMIF(Kaufteile!$C:$C,"Litze AWG20 rot/schwarz (m)",Kaufteile!$G:$G)</f>
        <v/>
      </c>
      <c r="D58" s="19">
        <f>IFERROR(IF(INDEX(Kaufteile!$J:$J,MATCH("Litze AWG20 rot/schwarz (m)",Kaufteile!$C:$C,0))="","",INDEX(Kaufteile!$J:$J,MATCH("Litze AWG20 rot/schwarz (m)",Kaufteile!$C:$C,0))),"")</f>
        <v/>
      </c>
      <c r="E58" s="19" t="inlineStr">
        <is>
          <t>Strom je Bein, Relais, DC-DC, Pi</t>
        </is>
      </c>
    </row>
    <row r="59">
      <c r="A59" s="19" t="inlineStr">
        <is>
          <t>Stecker &amp; Kabel</t>
        </is>
      </c>
      <c r="B59" s="19" t="inlineStr">
        <is>
          <t>Kupferdraht 1,5 mm² massiv (m)</t>
        </is>
      </c>
      <c r="C59" s="19">
        <f>SUMIF(Kaufteile!$C:$C,"Kupferdraht 1,5 mm² massiv (m)",Kaufteile!$G:$G)</f>
        <v/>
      </c>
      <c r="D59" s="19">
        <f>IFERROR(IF(INDEX(Kaufteile!$J:$J,MATCH("Kupferdraht 1,5 mm² massiv (m)",Kaufteile!$C:$C,0))="","",INDEX(Kaufteile!$J:$J,MATCH("Kupferdraht 1,5 mm² massiv (m)",Kaufteile!$C:$C,0))),"")</f>
        <v/>
      </c>
      <c r="E59" s="19" t="inlineStr">
        <is>
          <t>Sammelschienen Power-Board</t>
        </is>
      </c>
    </row>
    <row r="60">
      <c r="A60" s="19" t="inlineStr">
        <is>
          <t>Stecker &amp; Kabel</t>
        </is>
      </c>
      <c r="B60" s="19" t="inlineStr">
        <is>
          <t>Kupferdraht verzinnt 0,8 mm (m)</t>
        </is>
      </c>
      <c r="C60" s="19">
        <f>SUMIF(Kaufteile!$C:$C,"Kupferdraht verzinnt 0,8 mm (m)",Kaufteile!$G:$G)</f>
        <v/>
      </c>
      <c r="D60" s="19">
        <f>IFERROR(IF(INDEX(Kaufteile!$J:$J,MATCH("Kupferdraht verzinnt 0,8 mm (m)",Kaufteile!$C:$C,0))="","",INDEX(Kaufteile!$J:$J,MATCH("Kupferdraht verzinnt 0,8 mm (m)",Kaufteile!$C:$C,0))),"")</f>
        <v/>
      </c>
      <c r="E60" s="19" t="inlineStr">
        <is>
          <t>Schienen Bein-Platinen, Hub</t>
        </is>
      </c>
    </row>
    <row r="61">
      <c r="A61" s="19" t="inlineStr">
        <is>
          <t>Platinen</t>
        </is>
      </c>
      <c r="B61" s="19" t="inlineStr">
        <is>
          <t>Lochrasterplatinen AZ-Delivery</t>
        </is>
      </c>
      <c r="C61" s="19">
        <f>SUMIF(Kaufteile!$C:$C,"Lochrasterplatinen AZ-Delivery",Kaufteile!$G:$G)</f>
        <v/>
      </c>
      <c r="D61" s="19">
        <f>IFERROR(IF(INDEX(Kaufteile!$J:$J,MATCH("Lochrasterplatinen AZ-Delivery",Kaufteile!$C:$C,0))="","",INDEX(Kaufteile!$J:$J,MATCH("Lochrasterplatinen AZ-Delivery",Kaufteile!$C:$C,0))),"")</f>
        <v/>
      </c>
      <c r="E61" s="19" t="inlineStr">
        <is>
          <t>3× 3×7, 2× 5×7, 1× 2×8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12" customWidth="1" min="11" max="11"/>
    <col width="34" customWidth="1" min="12" max="12"/>
    <col width="52" customWidth="1" min="13" max="13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Wände (Linien à 0,4)</t>
        </is>
      </c>
      <c r="L1" s="6" t="inlineStr">
        <is>
          <t>Druckausrichtung</t>
        </is>
      </c>
      <c r="M1" s="6" t="inlineStr">
        <is>
          <t>Stützen / Besonderes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n">
        <v>4</v>
      </c>
      <c r="L2" s="3" t="inlineStr">
        <is>
          <t>Gelenkachse senkrecht</t>
        </is>
      </c>
      <c r="M2" s="3" t="inlineStr">
        <is>
          <t>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n">
        <v>4</v>
      </c>
      <c r="L3" s="3" t="inlineStr">
        <is>
          <t>Gelenkachse senkrecht</t>
        </is>
      </c>
      <c r="M3" s="3" t="inlineStr">
        <is>
          <t>Tree Support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 (nur Gelenkbereiche)</t>
        </is>
      </c>
      <c r="K4" s="3" t="n">
        <v>5</v>
      </c>
      <c r="L4" s="3" t="inlineStr">
        <is>
          <t>Gelenkachse senkrecht</t>
        </is>
      </c>
      <c r="M4" s="3" t="inlineStr">
        <is>
          <t>Tree Support; 5 Wände = 2-mm-Rohrwand; Brückeneinstellungen an (16-mm-Decke im Rohr)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 (nur Gelenkbereiche)</t>
        </is>
      </c>
      <c r="K5" s="3" t="n">
        <v>5</v>
      </c>
      <c r="L5" s="3" t="inlineStr">
        <is>
          <t>Gelenkachse senkrecht</t>
        </is>
      </c>
      <c r="M5" s="3" t="inlineStr">
        <is>
          <t>Tree Support; Brückeneinstellungen an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n">
        <v>5</v>
      </c>
      <c r="L6" s="3" t="inlineStr">
        <is>
          <t>Gelenkachse senkrecht</t>
        </is>
      </c>
      <c r="M6" s="3" t="inlineStr">
        <is>
          <t>Tree Support; Brückeneinstellungen an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n">
        <v>5</v>
      </c>
      <c r="L7" s="3" t="inlineStr">
        <is>
          <t>Gelenkachse senkrecht</t>
        </is>
      </c>
      <c r="M7" s="3" t="inlineStr">
        <is>
          <t>Tree Support; Brückeneinstellungen an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</t>
        </is>
      </c>
      <c r="K8" s="3" t="n">
        <v>5</v>
      </c>
      <c r="L8" s="3" t="inlineStr">
        <is>
          <t>Öffnung nach unten</t>
        </is>
      </c>
      <c r="M8" s="3" t="inlineStr">
        <is>
          <t>keine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n">
        <v>2</v>
      </c>
      <c r="L9" s="3" t="inlineStr">
        <is>
          <t>flach</t>
        </is>
      </c>
      <c r="M9" s="3" t="inlineStr">
        <is>
          <t>keine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n">
        <v>2</v>
      </c>
      <c r="L10" s="3" t="inlineStr">
        <is>
          <t>flach</t>
        </is>
      </c>
      <c r="M10" s="3" t="inlineStr">
        <is>
          <t>keine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40 % Gyroid</t>
        </is>
      </c>
      <c r="K11" s="3" t="n">
        <v>4</v>
      </c>
      <c r="L11" s="3" t="inlineStr">
        <is>
          <t>Unterseite aufs Bett</t>
        </is>
      </c>
      <c r="M11" s="3" t="inlineStr">
        <is>
          <t>keine; Brim 8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88.45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40 % Gyroid</t>
        </is>
      </c>
      <c r="K12" s="3" t="n">
        <v>4</v>
      </c>
      <c r="L12" s="3" t="inlineStr">
        <is>
          <t>Oberseite aufs Bett (Stoßzunge oben flach)</t>
        </is>
      </c>
      <c r="M12" s="3" t="inlineStr">
        <is>
          <t>keine; Brim 8 mm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149.63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40 % Gyroid</t>
        </is>
      </c>
      <c r="K13" s="3" t="n">
        <v>4</v>
      </c>
      <c r="L13" s="3" t="inlineStr">
        <is>
          <t>Unterseite aufs Bett</t>
        </is>
      </c>
      <c r="M13" s="3" t="inlineStr">
        <is>
          <t>keine; Brim 8 mm; M2-Bunde für 4 Bein-Platinen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87.70999999999999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40 % Gyroid</t>
        </is>
      </c>
      <c r="K14" s="3" t="n">
        <v>4</v>
      </c>
      <c r="L14" s="3" t="inlineStr">
        <is>
          <t>Unterseite aufs Bett</t>
        </is>
      </c>
      <c r="M14" s="3" t="inlineStr">
        <is>
          <t>flache Stütze nur unter der Stoßzunge (sonst Support-Blocker); Brim 8 mm</t>
        </is>
      </c>
    </row>
    <row r="15">
      <c r="A15" s="3" t="inlineStr">
        <is>
          <t>Kamerahalter</t>
        </is>
      </c>
      <c r="B15" s="3" t="inlineStr">
        <is>
          <t>Stereo-Makro V1.5 / Stereo_Mount</t>
        </is>
      </c>
      <c r="C15" s="3" t="inlineStr">
        <is>
          <t>PETG</t>
        </is>
      </c>
      <c r="D15" s="7" t="n">
        <v>1</v>
      </c>
      <c r="E15" s="7" t="n">
        <v>30.7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40 % Gyroid</t>
        </is>
      </c>
      <c r="K15" s="3" t="n">
        <v>4</v>
      </c>
      <c r="L15" s="3" t="inlineStr">
        <is>
          <t>Frontfläche aufs Bett</t>
        </is>
      </c>
      <c r="M15" s="3" t="inlineStr">
        <is>
          <t>keine; Brim 6–8 mm</t>
        </is>
      </c>
    </row>
    <row r="16">
      <c r="A16" s="3" t="inlineStr">
        <is>
          <t>Steckerhalter Akku</t>
        </is>
      </c>
      <c r="B16" s="3" t="inlineStr">
        <is>
          <t>Baseplate-Makro V2.6 / Connector_Holder</t>
        </is>
      </c>
      <c r="C16" s="3" t="inlineStr">
        <is>
          <t>PETG</t>
        </is>
      </c>
      <c r="D16" s="7" t="n">
        <v>1</v>
      </c>
      <c r="E16" s="7" t="n">
        <v>4.06</v>
      </c>
      <c r="F16" s="7" t="n">
        <v>1.27</v>
      </c>
      <c r="G16" s="12">
        <f>E16*F16</f>
        <v/>
      </c>
      <c r="H16" s="7" t="n">
        <v>1</v>
      </c>
      <c r="I16" s="13">
        <f>D16*G16*H16</f>
        <v/>
      </c>
      <c r="J16" s="3" t="inlineStr">
        <is>
          <t>100 %</t>
        </is>
      </c>
      <c r="K16" s="3" t="n">
        <v>4</v>
      </c>
      <c r="L16" s="3" t="inlineStr">
        <is>
          <t>Laschen aufs Bett</t>
        </is>
      </c>
      <c r="M16" s="3" t="inlineStr">
        <is>
          <t>keine; Tunnel als kurze Brücken</t>
        </is>
      </c>
    </row>
    <row r="17">
      <c r="A17" s="3" t="inlineStr">
        <is>
          <t>Akku-Riegel (Bajonettstift)</t>
        </is>
      </c>
      <c r="B17" s="3" t="inlineStr">
        <is>
          <t>Baseplate-Makro V2.7 / Battery_Latch (STL: SLARC_Battery_Latch_Pin)</t>
        </is>
      </c>
      <c r="C17" s="3" t="inlineStr">
        <is>
          <t>PETG</t>
        </is>
      </c>
      <c r="D17" s="7" t="n">
        <v>1</v>
      </c>
      <c r="E17" s="7" t="n">
        <v>3.63</v>
      </c>
      <c r="F17" s="7" t="n">
        <v>1.27</v>
      </c>
      <c r="G17" s="12">
        <f>E17*F17</f>
        <v/>
      </c>
      <c r="H17" s="7" t="n">
        <v>1</v>
      </c>
      <c r="I17" s="13">
        <f>D17*G17*H17</f>
        <v/>
      </c>
      <c r="J17" s="3" t="inlineStr">
        <is>
          <t>100 %</t>
        </is>
      </c>
      <c r="K17" s="3" t="n">
        <v>4</v>
      </c>
      <c r="L17" s="3" t="inlineStr">
        <is>
          <t>stehend, Kopf aufs Bett</t>
        </is>
      </c>
      <c r="M17" s="3" t="inlineStr">
        <is>
          <t>keine</t>
        </is>
      </c>
    </row>
    <row r="18">
      <c r="A18" s="3" t="inlineStr">
        <is>
          <t>Rückenpanzer vorn</t>
        </is>
      </c>
      <c r="B18" s="3" t="inlineStr">
        <is>
          <t>slarc_cover_v1.py / Cover_Front</t>
        </is>
      </c>
      <c r="C18" s="3" t="inlineStr">
        <is>
          <t>PETG</t>
        </is>
      </c>
      <c r="D18" s="7" t="n">
        <v>1</v>
      </c>
      <c r="E18" s="7" t="n">
        <v>79.8</v>
      </c>
      <c r="F18" s="7" t="n">
        <v>1.27</v>
      </c>
      <c r="G18" s="12">
        <f>E18*F18</f>
        <v/>
      </c>
      <c r="H18" s="7" t="n">
        <v>0.9</v>
      </c>
      <c r="I18" s="13">
        <f>D18*G18*H18</f>
        <v/>
      </c>
      <c r="J18" s="3" t="inlineStr">
        <is>
          <t>100 % (Gitter)</t>
        </is>
      </c>
      <c r="K18" s="3" t="n">
        <v>4</v>
      </c>
      <c r="L18" s="3" t="inlineStr">
        <is>
          <t>Grundfläche aufs Bett</t>
        </is>
      </c>
      <c r="M18" s="3" t="inlineStr">
        <is>
          <t>keine; Dachunterseite 50°</t>
        </is>
      </c>
    </row>
    <row r="19">
      <c r="A19" s="3" t="inlineStr">
        <is>
          <t>Rückenpanzer hinten</t>
        </is>
      </c>
      <c r="B19" s="3" t="inlineStr">
        <is>
          <t>slarc_cover_v1.py / Cover_Rear</t>
        </is>
      </c>
      <c r="C19" s="3" t="inlineStr">
        <is>
          <t>PETG</t>
        </is>
      </c>
      <c r="D19" s="7" t="n">
        <v>1</v>
      </c>
      <c r="E19" s="7" t="n">
        <v>66.3</v>
      </c>
      <c r="F19" s="7" t="n">
        <v>1.27</v>
      </c>
      <c r="G19" s="12">
        <f>E19*F19</f>
        <v/>
      </c>
      <c r="H19" s="7" t="n">
        <v>0.9</v>
      </c>
      <c r="I19" s="13">
        <f>D19*G19*H19</f>
        <v/>
      </c>
      <c r="J19" s="3" t="inlineStr">
        <is>
          <t>100 % (Gitter)</t>
        </is>
      </c>
      <c r="K19" s="3" t="n">
        <v>4</v>
      </c>
      <c r="L19" s="3" t="inlineStr">
        <is>
          <t>Grundfläche aufs Bett</t>
        </is>
      </c>
      <c r="M19" s="3" t="inlineStr">
        <is>
          <t>keine; Dachunterseite 50°</t>
        </is>
      </c>
    </row>
    <row r="20">
      <c r="A20" s="3" t="inlineStr">
        <is>
          <t>Hub-Träger</t>
        </is>
      </c>
      <c r="B20" s="3" t="inlineStr">
        <is>
          <t>Baseplate-Makro V2.8 / Hub_Carrier</t>
        </is>
      </c>
      <c r="C20" s="3" t="inlineStr">
        <is>
          <t>PETG</t>
        </is>
      </c>
      <c r="D20" s="7" t="n">
        <v>1</v>
      </c>
      <c r="E20" s="7" t="n">
        <v>6.87</v>
      </c>
      <c r="F20" s="7" t="n">
        <v>1.27</v>
      </c>
      <c r="G20" s="12">
        <f>E20*F20</f>
        <v/>
      </c>
      <c r="H20" s="7" t="n">
        <v>0.85</v>
      </c>
      <c r="I20" s="13">
        <f>D20*G20*H20</f>
        <v/>
      </c>
      <c r="J20" s="3" t="inlineStr">
        <is>
          <t>40 %</t>
        </is>
      </c>
      <c r="K20" s="3" t="n">
        <v>4</v>
      </c>
      <c r="L20" s="3" t="inlineStr">
        <is>
          <t>flach, Bunde nach oben</t>
        </is>
      </c>
      <c r="M20" s="3" t="inlineStr">
        <is>
          <t>keine</t>
        </is>
      </c>
    </row>
    <row r="21">
      <c r="A21" s="3" t="inlineStr">
        <is>
          <t>Power-Brücke</t>
        </is>
      </c>
      <c r="B21" s="3" t="inlineStr">
        <is>
          <t>Baseplate-Makro V2.8 / Power_Bridge</t>
        </is>
      </c>
      <c r="C21" s="3" t="inlineStr">
        <is>
          <t>PETG</t>
        </is>
      </c>
      <c r="D21" s="7" t="n">
        <v>1</v>
      </c>
      <c r="E21" s="7" t="n">
        <v>12.34</v>
      </c>
      <c r="F21" s="7" t="n">
        <v>1.27</v>
      </c>
      <c r="G21" s="12">
        <f>E21*F21</f>
        <v/>
      </c>
      <c r="H21" s="7" t="n">
        <v>0.85</v>
      </c>
      <c r="I21" s="13">
        <f>D21*G21*H21</f>
        <v/>
      </c>
      <c r="J21" s="3" t="inlineStr">
        <is>
          <t>40 %</t>
        </is>
      </c>
      <c r="K21" s="3" t="n">
        <v>4</v>
      </c>
      <c r="L21" s="3" t="inlineStr">
        <is>
          <t>Deck aufs Bett, Bunde nach oben</t>
        </is>
      </c>
      <c r="M21" s="3" t="inlineStr">
        <is>
          <t>keine</t>
        </is>
      </c>
    </row>
    <row r="22">
      <c r="A22" s="3" t="inlineStr">
        <is>
          <t>Hülse Power-Brücke</t>
        </is>
      </c>
      <c r="B22" s="3" t="inlineStr">
        <is>
          <t>Baseplate-Makro V2.8 / Power_Bridge_Sleeve</t>
        </is>
      </c>
      <c r="C22" s="3" t="inlineStr">
        <is>
          <t>PETG</t>
        </is>
      </c>
      <c r="D22" s="7" t="n">
        <v>2</v>
      </c>
      <c r="E22" s="7" t="n">
        <v>1.38</v>
      </c>
      <c r="F22" s="7" t="n">
        <v>1.27</v>
      </c>
      <c r="G22" s="12">
        <f>E22*F22</f>
        <v/>
      </c>
      <c r="H22" s="7" t="n">
        <v>1</v>
      </c>
      <c r="I22" s="13">
        <f>D22*G22*H22</f>
        <v/>
      </c>
      <c r="J22" s="3" t="inlineStr">
        <is>
          <t>100 %</t>
        </is>
      </c>
      <c r="K22" s="3" t="n">
        <v>4</v>
      </c>
      <c r="L22" s="3" t="inlineStr">
        <is>
          <t>stehend</t>
        </is>
      </c>
      <c r="M22" s="3" t="inlineStr">
        <is>
          <t>keine</t>
        </is>
      </c>
    </row>
    <row r="23">
      <c r="A23" s="3" t="inlineStr">
        <is>
          <t>Distanzhülse Pi</t>
        </is>
      </c>
      <c r="B23" s="3" t="inlineStr">
        <is>
          <t>Baseplate-Makro V2.9 / Pi_Sleeve</t>
        </is>
      </c>
      <c r="C23" s="3" t="inlineStr">
        <is>
          <t>PETG</t>
        </is>
      </c>
      <c r="D23" s="7" t="n">
        <v>4</v>
      </c>
      <c r="E23" s="7" t="n">
        <v>0.13</v>
      </c>
      <c r="F23" s="7" t="n">
        <v>1.27</v>
      </c>
      <c r="G23" s="12">
        <f>E23*F23</f>
        <v/>
      </c>
      <c r="H23" s="7" t="n">
        <v>1</v>
      </c>
      <c r="I23" s="13">
        <f>D23*G23*H23</f>
        <v/>
      </c>
      <c r="J23" s="3" t="inlineStr">
        <is>
          <t>100 %</t>
        </is>
      </c>
      <c r="K23" s="3" t="n">
        <v>4</v>
      </c>
      <c r="L23" s="3" t="inlineStr">
        <is>
          <t>stehend</t>
        </is>
      </c>
      <c r="M23" s="3" t="inlineStr">
        <is>
          <t>keine; Bohrung bei Bedarf auf 2,8–3 mm aufbohren</t>
        </is>
      </c>
    </row>
    <row r="24">
      <c r="A24" s="3" t="inlineStr">
        <is>
          <t>Taster-Winkel</t>
        </is>
      </c>
      <c r="B24" s="3" t="inlineStr">
        <is>
          <t>Baseplate-Makro V2.10 / Button_Bracket</t>
        </is>
      </c>
      <c r="C24" s="3" t="inlineStr">
        <is>
          <t>PETG</t>
        </is>
      </c>
      <c r="D24" s="7" t="n">
        <v>1</v>
      </c>
      <c r="E24" s="7" t="n">
        <v>2.48</v>
      </c>
      <c r="F24" s="7" t="n">
        <v>1.27</v>
      </c>
      <c r="G24" s="12">
        <f>E24*F24</f>
        <v/>
      </c>
      <c r="H24" s="7" t="n">
        <v>1</v>
      </c>
      <c r="I24" s="13">
        <f>D24*G24*H24</f>
        <v/>
      </c>
      <c r="J24" s="3" t="inlineStr">
        <is>
          <t>100 %</t>
        </is>
      </c>
      <c r="K24" s="3" t="n">
        <v>4</v>
      </c>
      <c r="L24" s="3" t="inlineStr">
        <is>
          <t>Fuß aufs Bett, Blende stehend</t>
        </is>
      </c>
      <c r="M24" s="3" t="inlineStr">
        <is>
          <t>keine</t>
        </is>
      </c>
    </row>
    <row r="25">
      <c r="A25" s="3" t="inlineStr">
        <is>
          <t>ST3215-Dummy (optional)</t>
        </is>
      </c>
      <c r="B25" s="3" t="inlineStr">
        <is>
          <t>Drawings/STL files/ST3215_Dummy.stl</t>
        </is>
      </c>
      <c r="C25" s="3" t="inlineStr">
        <is>
          <t>PETG</t>
        </is>
      </c>
      <c r="D25" s="7" t="n">
        <v>0</v>
      </c>
      <c r="E25" s="7" t="n">
        <v>34.4</v>
      </c>
      <c r="F25" s="7" t="n">
        <v>1.27</v>
      </c>
      <c r="G25" s="12">
        <f>E25*F25</f>
        <v/>
      </c>
      <c r="H25" s="7" t="n">
        <v>0.5</v>
      </c>
      <c r="I25" s="13">
        <f>D25*G25*H25</f>
        <v/>
      </c>
      <c r="J25" s="3" t="inlineStr">
        <is>
          <t>15 %</t>
        </is>
      </c>
      <c r="K25" s="3" t="n">
        <v>3</v>
      </c>
      <c r="L25" s="3" t="inlineStr">
        <is>
          <t>seitlich liegend</t>
        </is>
      </c>
      <c r="M25" s="3" t="inlineStr">
        <is>
          <t>keine; Anzahl nach Bedarf eintragen (Platzhalter für fehlende Coxa-Servos)</t>
        </is>
      </c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" t="inlineStr">
        <is>
          <t>Summe nach Material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inlineStr">
        <is>
          <t>PETG</t>
        </is>
      </c>
      <c r="B28" s="3" t="n"/>
      <c r="C28" s="3" t="n"/>
      <c r="D28" s="3" t="n"/>
      <c r="E28" s="3" t="n"/>
      <c r="F28" s="3" t="n"/>
      <c r="G28" s="3" t="n"/>
      <c r="H28" s="3" t="inlineStr">
        <is>
          <t>g gesamt</t>
        </is>
      </c>
      <c r="I28" s="13">
        <f>SUMIFS(I2:I25,C2:C25,A28)</f>
        <v/>
      </c>
      <c r="J28" s="3" t="n"/>
      <c r="K28" s="3" t="n"/>
      <c r="L28" s="3" t="n"/>
      <c r="M28" s="3" t="n"/>
    </row>
    <row r="29">
      <c r="A29" s="3" t="inlineStr">
        <is>
          <t>TPU 95A</t>
        </is>
      </c>
      <c r="B29" s="3" t="n"/>
      <c r="C29" s="3" t="n"/>
      <c r="D29" s="3" t="n"/>
      <c r="E29" s="3" t="n"/>
      <c r="F29" s="3" t="n"/>
      <c r="G29" s="3" t="n"/>
      <c r="H29" s="3" t="inlineStr">
        <is>
          <t>g gesamt</t>
        </is>
      </c>
      <c r="I29" s="13">
        <f>SUMIFS(I2:I25,C2:C25,A29)</f>
        <v/>
      </c>
      <c r="J29" s="3" t="n"/>
      <c r="K29" s="3" t="n"/>
      <c r="L29" s="3" t="n"/>
      <c r="M29" s="3" t="n"/>
    </row>
    <row r="30">
      <c r="A30" s="3" t="inlineStr">
        <is>
          <t>PLA</t>
        </is>
      </c>
      <c r="B30" s="3" t="n"/>
      <c r="C30" s="3" t="n"/>
      <c r="D30" s="3" t="n"/>
      <c r="E30" s="3" t="n"/>
      <c r="F30" s="3" t="n"/>
      <c r="G30" s="3" t="n"/>
      <c r="H30" s="3" t="inlineStr">
        <is>
          <t>g gesamt</t>
        </is>
      </c>
      <c r="I30" s="13">
        <f>SUMIFS(I2:I25,C2:C25,A30)</f>
        <v/>
      </c>
      <c r="J30" s="3" t="n"/>
      <c r="K30" s="3" t="n"/>
      <c r="L30" s="3" t="n"/>
      <c r="M30" s="3" t="n"/>
    </row>
    <row r="31">
      <c r="A31" s="2" t="inlineStr">
        <is>
          <t>Alle Druckteile</t>
        </is>
      </c>
      <c r="B31" s="3" t="n"/>
      <c r="C31" s="3" t="n"/>
      <c r="D31" s="3" t="n"/>
      <c r="E31" s="3" t="n"/>
      <c r="F31" s="3" t="n"/>
      <c r="G31" s="3" t="n"/>
      <c r="H31" s="3" t="n"/>
      <c r="I31" s="14">
        <f>SUM(I28:I30)</f>
        <v/>
      </c>
      <c r="J31" s="3" t="n"/>
      <c r="K31" s="3" t="n"/>
      <c r="L31" s="3" t="n"/>
      <c r="M3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60" customWidth="1" min="2" max="2"/>
    <col width="24" customWidth="1" min="3" max="3"/>
    <col width="22" customWidth="1" min="4" max="4"/>
  </cols>
  <sheetData>
    <row r="1">
      <c r="A1" s="18" t="inlineStr">
        <is>
          <t>Einstellung</t>
        </is>
      </c>
      <c r="B1" s="18" t="inlineStr">
        <is>
          <t>PETG</t>
        </is>
      </c>
      <c r="C1" s="18" t="inlineStr">
        <is>
          <t>TPU 95A</t>
        </is>
      </c>
      <c r="D1" s="18" t="inlineStr">
        <is>
          <t>PLA</t>
        </is>
      </c>
    </row>
    <row r="2">
      <c r="A2" s="18" t="inlineStr">
        <is>
          <t>Düse</t>
        </is>
      </c>
      <c r="B2" s="19" t="inlineStr">
        <is>
          <t>0,4 mm</t>
        </is>
      </c>
      <c r="C2" s="19" t="inlineStr">
        <is>
          <t>0,4 mm</t>
        </is>
      </c>
      <c r="D2" s="19" t="inlineStr">
        <is>
          <t>0,4 mm</t>
        </is>
      </c>
    </row>
    <row r="3">
      <c r="A3" s="18" t="inlineStr">
        <is>
          <t>Schichthöhe</t>
        </is>
      </c>
      <c r="B3" s="19" t="inlineStr">
        <is>
          <t>0,2 mm (erste Schicht 0,2–0,24 mm)</t>
        </is>
      </c>
      <c r="C3" s="19" t="inlineStr">
        <is>
          <t>0,2 mm</t>
        </is>
      </c>
      <c r="D3" s="19" t="inlineStr">
        <is>
          <t>0,2 mm</t>
        </is>
      </c>
    </row>
    <row r="4">
      <c r="A4" s="18" t="inlineStr">
        <is>
          <t>Düsentemperatur</t>
        </is>
      </c>
      <c r="B4" s="19" t="inlineStr">
        <is>
          <t>235 °C</t>
        </is>
      </c>
      <c r="C4" s="19" t="inlineStr">
        <is>
          <t>225 °C</t>
        </is>
      </c>
      <c r="D4" s="19" t="inlineStr">
        <is>
          <t>210 °C</t>
        </is>
      </c>
    </row>
    <row r="5">
      <c r="A5" s="18" t="inlineStr">
        <is>
          <t>Betttemperatur</t>
        </is>
      </c>
      <c r="B5" s="19" t="inlineStr">
        <is>
          <t>80 °C, große flache Teile 85 °C</t>
        </is>
      </c>
      <c r="C5" s="19" t="inlineStr">
        <is>
          <t>50 °C</t>
        </is>
      </c>
      <c r="D5" s="19" t="inlineStr">
        <is>
          <t>60 °C</t>
        </is>
      </c>
    </row>
    <row r="6">
      <c r="A6" s="18" t="inlineStr">
        <is>
          <t>Lüfter</t>
        </is>
      </c>
      <c r="B6" s="19" t="inlineStr">
        <is>
          <t>erste 3–4 Schichten aus, danach max. 30–40 %</t>
        </is>
      </c>
      <c r="C6" s="19" t="inlineStr">
        <is>
          <t>50 %</t>
        </is>
      </c>
      <c r="D6" s="19" t="inlineStr">
        <is>
          <t>100 % ab Schicht 2</t>
        </is>
      </c>
    </row>
    <row r="7">
      <c r="A7" s="18" t="inlineStr">
        <is>
          <t>Druckgeschwindigkeit</t>
        </is>
      </c>
      <c r="B7" s="19" t="inlineStr">
        <is>
          <t>normal; erste Schicht 20 mm/s</t>
        </is>
      </c>
      <c r="C7" s="19" t="inlineStr">
        <is>
          <t>20–25 mm/s</t>
        </is>
      </c>
      <c r="D7" s="19" t="inlineStr">
        <is>
          <t>normal</t>
        </is>
      </c>
    </row>
    <row r="8">
      <c r="A8" s="18" t="inlineStr">
        <is>
          <t>Erste Schicht</t>
        </is>
      </c>
      <c r="B8" s="19" t="inlineStr">
        <is>
          <t>Linienbreite 120 %, horizontale Ausdehnung −0,1 mm (Elefantenfuß)</t>
        </is>
      </c>
      <c r="C8" s="19" t="inlineStr">
        <is>
          <t>Linienbreite 120 %</t>
        </is>
      </c>
      <c r="D8" s="19" t="inlineStr">
        <is>
          <t>Linienbreite 120 %</t>
        </is>
      </c>
    </row>
    <row r="9">
      <c r="A9" s="18" t="inlineStr">
        <is>
          <t>Löcher</t>
        </is>
      </c>
      <c r="B9" s="19" t="inlineStr">
        <is>
          <t>horizontale Ausdehnung für Löcher +0,1 mm, falls M2/M2,5/M3 zu eng</t>
        </is>
      </c>
      <c r="C9" s="19" t="inlineStr">
        <is>
          <t>–</t>
        </is>
      </c>
      <c r="D9" s="19" t="inlineStr">
        <is>
          <t>–</t>
        </is>
      </c>
    </row>
    <row r="10">
      <c r="A10" s="18" t="inlineStr">
        <is>
          <t>Rückzug (Retract)</t>
        </is>
      </c>
      <c r="B10" s="19" t="inlineStr">
        <is>
          <t>Standard</t>
        </is>
      </c>
      <c r="C10" s="19" t="inlineStr">
        <is>
          <t>kurz (≤ 1 mm) oder aus</t>
        </is>
      </c>
      <c r="D10" s="19" t="inlineStr">
        <is>
          <t>Standard</t>
        </is>
      </c>
    </row>
    <row r="11">
      <c r="A11" s="18" t="inlineStr">
        <is>
          <t>Brücken</t>
        </is>
      </c>
      <c r="B11" s="19" t="inlineStr">
        <is>
          <t>Brückeneinstellungen an: Wand/Haut 20–25 mm/s, Lüfter Brücke 100 %, Haut-Fluss 100 % (bei Durchhängen 90 %), mehrere Brückenschichten an</t>
        </is>
      </c>
      <c r="C11" s="19" t="inlineStr">
        <is>
          <t>–</t>
        </is>
      </c>
      <c r="D11" s="19" t="inlineStr">
        <is>
          <t>–</t>
        </is>
      </c>
    </row>
    <row r="12">
      <c r="A12" s="18" t="inlineStr">
        <is>
          <t>Wände (Standard)</t>
        </is>
      </c>
      <c r="B12" s="19" t="inlineStr">
        <is>
          <t>4 Linien (1,6 mm); Bein-Rohre 5 Linien = 2 mm</t>
        </is>
      </c>
      <c r="C12" s="19" t="inlineStr">
        <is>
          <t>5 Linien</t>
        </is>
      </c>
      <c r="D12" s="19" t="inlineStr">
        <is>
          <t>2 Linien</t>
        </is>
      </c>
    </row>
    <row r="13">
      <c r="A13" s="18" t="inlineStr">
        <is>
          <t>Deck-/Bodenschichten</t>
        </is>
      </c>
      <c r="B13" s="19" t="inlineStr">
        <is>
          <t>je 5 (1 mm)</t>
        </is>
      </c>
      <c r="C13" s="19" t="inlineStr">
        <is>
          <t>je 4</t>
        </is>
      </c>
      <c r="D13" s="19" t="inlineStr">
        <is>
          <t>je 4</t>
        </is>
      </c>
    </row>
    <row r="14">
      <c r="A14" s="18" t="inlineStr">
        <is>
          <t>Haftung</t>
        </is>
      </c>
      <c r="B14" s="19" t="inlineStr">
        <is>
          <t>Brim bei großen flachen Teilen (Platten 8 mm, Kamerahalter 6–8 mm), sonst keine</t>
        </is>
      </c>
      <c r="C14" s="19" t="inlineStr">
        <is>
          <t>keine</t>
        </is>
      </c>
      <c r="D14" s="19" t="inlineStr">
        <is>
          <t>keine</t>
        </is>
      </c>
    </row>
    <row r="15">
      <c r="A15" s="18" t="inlineStr">
        <is>
          <t>Umgebung</t>
        </is>
      </c>
      <c r="B15" s="19" t="inlineStr">
        <is>
          <t>kein Luftzug; Teil auf dem Bett abkühlen lassen</t>
        </is>
      </c>
      <c r="C15" s="19" t="inlineStr">
        <is>
          <t>–</t>
        </is>
      </c>
      <c r="D15" s="19" t="inlineStr">
        <is>
          <t>–</t>
        </is>
      </c>
    </row>
    <row r="16">
      <c r="A16" s="18" t="inlineStr">
        <is>
          <t>Kernlöcher</t>
        </is>
      </c>
      <c r="B16" s="19" t="inlineStr">
        <is>
          <t>M2 = 1,7 mm, M2,5 = 2,1 mm: Wandzahl ist wichtiger als Füllung</t>
        </is>
      </c>
      <c r="C16" s="19" t="inlineStr">
        <is>
          <t>–</t>
        </is>
      </c>
      <c r="D16" s="19" t="inlineStr">
        <is>
          <t>–</t>
        </is>
      </c>
    </row>
    <row r="17">
      <c r="A17" s="18" t="inlineStr">
        <is>
          <t>Kleinteile</t>
        </is>
      </c>
      <c r="B17" s="19" t="inlineStr">
        <is>
          <t>mehrere 100-%-Teile zusammen auf eine Platte (Kühlzeit je Schicht)</t>
        </is>
      </c>
      <c r="C17" s="19" t="inlineStr">
        <is>
          <t>–</t>
        </is>
      </c>
      <c r="D17" s="19" t="inlineStr">
        <is>
          <t>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Druckteile!I31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2026-10-27T09:49:43Z</dcterms:modified>
  <cp:lastModifiedBy>Marco Vorbach</cp:lastModifiedBy>
</cp:coreProperties>
</file>